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27795" windowHeight="12525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functionGroups builtInGroupCount="17"/>
  <definedNames>
    <definedName name="A1\">Sheet3!$B$10</definedName>
    <definedName name="B">Sheet2!$B$24</definedName>
    <definedName name="k1\">Sheet3!$B$11</definedName>
  </definedNames>
  <calcPr calcId="145621"/>
</workbook>
</file>

<file path=xl/calcChain.xml><?xml version="1.0" encoding="utf-8"?>
<calcChain xmlns="http://schemas.openxmlformats.org/spreadsheetml/2006/main">
  <c r="M36" i="2" l="1"/>
  <c r="L36" i="2"/>
  <c r="K36" i="2"/>
  <c r="J36" i="2"/>
  <c r="I36" i="2"/>
  <c r="H36" i="2"/>
  <c r="G36" i="2"/>
  <c r="F36" i="2"/>
  <c r="E36" i="2"/>
  <c r="D36" i="2"/>
  <c r="C36" i="2"/>
  <c r="M35" i="2"/>
  <c r="L35" i="2"/>
  <c r="K35" i="2"/>
  <c r="J35" i="2"/>
  <c r="I35" i="2"/>
  <c r="H35" i="2"/>
  <c r="G35" i="2"/>
  <c r="F35" i="2"/>
  <c r="E35" i="2"/>
  <c r="D35" i="2"/>
  <c r="C35" i="2"/>
  <c r="M34" i="2"/>
  <c r="L34" i="2"/>
  <c r="K34" i="2"/>
  <c r="J34" i="2"/>
  <c r="I34" i="2"/>
  <c r="H34" i="2"/>
  <c r="G34" i="2"/>
  <c r="F34" i="2"/>
  <c r="E34" i="2"/>
  <c r="D34" i="2"/>
  <c r="C34" i="2"/>
  <c r="M33" i="2"/>
  <c r="L33" i="2"/>
  <c r="K33" i="2"/>
  <c r="J33" i="2"/>
  <c r="I33" i="2"/>
  <c r="H33" i="2"/>
  <c r="G33" i="2"/>
  <c r="F33" i="2"/>
  <c r="E33" i="2"/>
  <c r="D33" i="2"/>
  <c r="C33" i="2"/>
  <c r="M32" i="2"/>
  <c r="L32" i="2"/>
  <c r="K32" i="2"/>
  <c r="J32" i="2"/>
  <c r="I32" i="2"/>
  <c r="H32" i="2"/>
  <c r="G32" i="2"/>
  <c r="F32" i="2"/>
  <c r="E32" i="2"/>
  <c r="D32" i="2"/>
  <c r="C32" i="2"/>
  <c r="M31" i="2"/>
  <c r="L31" i="2"/>
  <c r="K31" i="2"/>
  <c r="J31" i="2"/>
  <c r="I31" i="2"/>
  <c r="H31" i="2"/>
  <c r="G31" i="2"/>
  <c r="F31" i="2"/>
  <c r="E31" i="2"/>
  <c r="D31" i="2"/>
  <c r="C31" i="2"/>
  <c r="M30" i="2"/>
  <c r="L30" i="2"/>
  <c r="K30" i="2"/>
  <c r="J30" i="2"/>
  <c r="I30" i="2"/>
  <c r="H30" i="2"/>
  <c r="G30" i="2"/>
  <c r="F30" i="2"/>
  <c r="E30" i="2"/>
  <c r="D30" i="2"/>
  <c r="C30" i="2"/>
  <c r="M29" i="2"/>
  <c r="L29" i="2"/>
  <c r="K29" i="2"/>
  <c r="J29" i="2"/>
  <c r="I29" i="2"/>
  <c r="H29" i="2"/>
  <c r="G29" i="2"/>
  <c r="F29" i="2"/>
  <c r="E29" i="2"/>
  <c r="D29" i="2"/>
  <c r="C29" i="2"/>
  <c r="M28" i="2"/>
  <c r="L28" i="2"/>
  <c r="K28" i="2"/>
  <c r="J28" i="2"/>
  <c r="I28" i="2"/>
  <c r="H28" i="2"/>
  <c r="G28" i="2"/>
  <c r="F28" i="2"/>
  <c r="E28" i="2"/>
  <c r="D28" i="2"/>
  <c r="C28" i="2"/>
  <c r="M27" i="2"/>
  <c r="L27" i="2"/>
  <c r="K27" i="2"/>
  <c r="J27" i="2"/>
  <c r="I27" i="2"/>
  <c r="H27" i="2"/>
  <c r="G27" i="2"/>
  <c r="F27" i="2"/>
  <c r="E27" i="2"/>
  <c r="D27" i="2"/>
  <c r="C27" i="2"/>
  <c r="F18" i="2"/>
  <c r="L20" i="2"/>
  <c r="G17" i="2"/>
  <c r="I14" i="2"/>
  <c r="F17" i="2"/>
  <c r="L19" i="2"/>
  <c r="I21" i="2"/>
  <c r="E19" i="2"/>
  <c r="K21" i="2"/>
  <c r="D28" i="1"/>
  <c r="J18" i="2"/>
  <c r="J12" i="2"/>
  <c r="D27" i="1"/>
  <c r="D18" i="1"/>
  <c r="C18" i="2"/>
  <c r="I19" i="2"/>
  <c r="M14" i="2"/>
  <c r="C13" i="2"/>
  <c r="D13" i="2"/>
  <c r="D22" i="1"/>
  <c r="K17" i="2"/>
  <c r="H17" i="2"/>
  <c r="G13" i="2"/>
  <c r="D23" i="1"/>
  <c r="H12" i="2"/>
  <c r="M16" i="2"/>
  <c r="C15" i="2"/>
  <c r="I20" i="2"/>
  <c r="M21" i="2"/>
  <c r="H18" i="2"/>
  <c r="D13" i="1"/>
  <c r="I18" i="2"/>
  <c r="K19" i="2"/>
  <c r="I17" i="2"/>
  <c r="G19" i="2"/>
  <c r="M15" i="2"/>
  <c r="D10" i="1"/>
  <c r="K14" i="2"/>
  <c r="B24" i="3"/>
  <c r="F13" i="2"/>
  <c r="D14" i="1"/>
  <c r="K16" i="2"/>
  <c r="D24" i="1"/>
  <c r="F19" i="2"/>
  <c r="D19" i="2"/>
  <c r="D16" i="2"/>
  <c r="F12" i="2"/>
  <c r="B26" i="3"/>
  <c r="K12" i="2"/>
  <c r="B16" i="3"/>
  <c r="M19" i="2"/>
  <c r="C12" i="2"/>
  <c r="D21" i="2"/>
  <c r="C14" i="2"/>
  <c r="I13" i="2"/>
  <c r="K18" i="2"/>
  <c r="H20" i="2"/>
  <c r="C17" i="2"/>
  <c r="D29" i="1"/>
  <c r="D17" i="2"/>
  <c r="B22" i="3"/>
  <c r="L21" i="2"/>
  <c r="D18" i="2"/>
  <c r="G15" i="2"/>
  <c r="F21" i="2"/>
  <c r="M17" i="2"/>
  <c r="D14" i="2"/>
  <c r="B25" i="3"/>
  <c r="G21" i="2"/>
  <c r="J13" i="2"/>
  <c r="H21" i="2"/>
  <c r="E15" i="2"/>
  <c r="G12" i="2"/>
  <c r="D15" i="1"/>
  <c r="B20" i="3"/>
  <c r="C20" i="2"/>
  <c r="M12" i="2"/>
  <c r="M13" i="2"/>
  <c r="H15" i="2"/>
  <c r="L16" i="2"/>
  <c r="J17" i="2"/>
  <c r="K15" i="2"/>
  <c r="F20" i="2"/>
  <c r="D15" i="2"/>
  <c r="E18" i="2"/>
  <c r="B17" i="3"/>
  <c r="J20" i="2"/>
  <c r="D11" i="1"/>
  <c r="H13" i="2"/>
  <c r="D12" i="1"/>
  <c r="G20" i="2"/>
  <c r="I12" i="2"/>
  <c r="D20" i="2"/>
  <c r="J16" i="2"/>
  <c r="L18" i="2"/>
  <c r="E12" i="2"/>
  <c r="D30" i="1"/>
  <c r="F15" i="2"/>
  <c r="D21" i="1"/>
  <c r="L17" i="2"/>
  <c r="L15" i="2"/>
  <c r="J14" i="2"/>
  <c r="E20" i="2"/>
  <c r="B21" i="3"/>
  <c r="C21" i="2"/>
  <c r="K20" i="2"/>
  <c r="K13" i="2"/>
  <c r="D20" i="1"/>
  <c r="J19" i="2"/>
  <c r="M20" i="2"/>
  <c r="D12" i="2"/>
  <c r="E16" i="2"/>
  <c r="C19" i="2"/>
  <c r="I15" i="2"/>
  <c r="D26" i="1"/>
  <c r="J15" i="2"/>
  <c r="D17" i="1"/>
  <c r="F16" i="2"/>
  <c r="H16" i="2"/>
  <c r="C16" i="2"/>
  <c r="J21" i="2"/>
  <c r="H14" i="2"/>
  <c r="D19" i="1"/>
  <c r="F14" i="2"/>
  <c r="G14" i="2"/>
  <c r="B19" i="3"/>
  <c r="B18" i="3"/>
  <c r="M18" i="2"/>
  <c r="G18" i="2"/>
  <c r="L14" i="2"/>
  <c r="D16" i="1"/>
  <c r="L13" i="2"/>
  <c r="G16" i="2"/>
  <c r="E13" i="2"/>
  <c r="B23" i="3"/>
  <c r="H19" i="2"/>
  <c r="E14" i="2"/>
  <c r="L12" i="2"/>
  <c r="E21" i="2"/>
  <c r="D25" i="1"/>
  <c r="E17" i="2"/>
  <c r="I16" i="2"/>
</calcChain>
</file>

<file path=xl/sharedStrings.xml><?xml version="1.0" encoding="utf-8"?>
<sst xmlns="http://schemas.openxmlformats.org/spreadsheetml/2006/main" count="55" uniqueCount="33">
  <si>
    <t>Clair Cunningham</t>
  </si>
  <si>
    <t>PSWC-01</t>
  </si>
  <si>
    <t>Week4</t>
  </si>
  <si>
    <t>In-Class Exercise #1</t>
  </si>
  <si>
    <t>In-Class Exercise #2</t>
  </si>
  <si>
    <t xml:space="preserve">Write a VBA function to evaluate fun_2(x,y) for values of x and y ranging from 0 to 1 with increments of 0.1
</t>
  </si>
  <si>
    <t>VBA</t>
  </si>
  <si>
    <t>y</t>
  </si>
  <si>
    <t>x</t>
  </si>
  <si>
    <t>Excel</t>
  </si>
  <si>
    <t>B</t>
  </si>
  <si>
    <t>In-Class Exercise #3</t>
  </si>
  <si>
    <t xml:space="preserve">Write a function for various values of x (in radians) ranging from 0 to 1, using built in Excel functions and also creating a user defined function in VBA 
                                                                                                                                                                                                                                                                                                              Use values for the parameters of A=2 and k=0.5   by using appropriate cell references
</t>
  </si>
  <si>
    <t>A</t>
  </si>
  <si>
    <t>k</t>
  </si>
  <si>
    <t xml:space="preserve"> Using VBA and Excel create a function to calculate the value of  
</t>
  </si>
  <si>
    <t>xsinx</t>
  </si>
  <si>
    <t>In-Class Exercise #4</t>
  </si>
  <si>
    <t>Week 4</t>
  </si>
  <si>
    <t>Write VBA Sub to ask your name and greet you.</t>
  </si>
  <si>
    <t>In-Class Exercise #5</t>
  </si>
  <si>
    <t>SUM A+B+C</t>
  </si>
  <si>
    <t>C</t>
  </si>
  <si>
    <t>In-Class Exercise #6</t>
  </si>
  <si>
    <t>Writ Sub &amp;Functions to calculate volume and surface area of a cone.</t>
  </si>
  <si>
    <t>Diameter</t>
  </si>
  <si>
    <t>Height</t>
  </si>
  <si>
    <t>ConeVol</t>
  </si>
  <si>
    <t>ConeArea</t>
  </si>
  <si>
    <t>m</t>
  </si>
  <si>
    <t>m^2</t>
  </si>
  <si>
    <t>m^3</t>
  </si>
  <si>
    <t>Hello, 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</si>
</sst>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center" vertical="top" wrapText="1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  <xf numFmtId="0" fontId="0" fillId="2" borderId="4" xfId="0" applyFill="1" applyBorder="1" applyAlignment="1">
      <alignment horizontal="center" vertical="top"/>
    </xf>
    <xf numFmtId="0" fontId="0" fillId="2" borderId="0" xfId="0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0" fillId="2" borderId="8" xfId="0" applyFill="1" applyBorder="1" applyAlignment="1">
      <alignment horizontal="center" vertical="top"/>
    </xf>
    <xf numFmtId="0" fontId="0" fillId="2" borderId="0" xfId="0" applyFill="1" applyAlignment="1">
      <alignment horizontal="center" vertical="top" wrapText="1"/>
    </xf>
    <xf numFmtId="0" fontId="0" fillId="2" borderId="2" xfId="0" applyFill="1" applyBorder="1" applyAlignment="1">
      <alignment horizontal="center" vertical="top" wrapText="1"/>
    </xf>
    <xf numFmtId="0" fontId="0" fillId="2" borderId="3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center" vertical="top" wrapText="1"/>
    </xf>
    <xf numFmtId="0" fontId="0" fillId="2" borderId="0" xfId="0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top" wrapText="1"/>
    </xf>
    <xf numFmtId="0" fontId="0" fillId="2" borderId="6" xfId="0" applyFill="1" applyBorder="1" applyAlignment="1">
      <alignment horizontal="center" vertical="top" wrapText="1"/>
    </xf>
    <xf numFmtId="0" fontId="0" fillId="2" borderId="7" xfId="0" applyFill="1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333374</xdr:colOff>
      <xdr:row>3</xdr:row>
      <xdr:rowOff>185737</xdr:rowOff>
    </xdr:from>
    <xdr:ext cx="1438275" cy="405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552574" y="757237"/>
              <a:ext cx="1438275" cy="405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0" i="1">
                        <a:latin typeface="Cambria Math"/>
                      </a:rPr>
                      <m:t>𝑥</m:t>
                    </m:r>
                    <m:r>
                      <a:rPr lang="en-US" sz="2000" b="0" i="1">
                        <a:latin typeface="Cambria Math"/>
                      </a:rPr>
                      <m:t>∗</m:t>
                    </m:r>
                    <m:func>
                      <m:funcPr>
                        <m:ctrlPr>
                          <a:rPr lang="en-US" sz="2000" b="0" i="1">
                            <a:latin typeface="Cambria Math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2000" b="0" i="0">
                            <a:latin typeface="Cambria Math"/>
                          </a:rPr>
                          <m:t>sin</m:t>
                        </m:r>
                      </m:fName>
                      <m:e>
                        <m:d>
                          <m:dPr>
                            <m:ctrlPr>
                              <a:rPr lang="en-US" sz="20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2000" b="0" i="1">
                                <a:latin typeface="Cambria Math"/>
                              </a:rPr>
                              <m:t>𝑥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US" sz="2000" b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552574" y="757237"/>
              <a:ext cx="1438275" cy="405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000" b="0" i="0">
                  <a:latin typeface="Cambria Math"/>
                </a:rPr>
                <a:t>𝑥∗sin⁡(𝑥)</a:t>
              </a:r>
              <a:endParaRPr lang="en-US" sz="2000" b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</xdr:row>
      <xdr:rowOff>28576</xdr:rowOff>
    </xdr:from>
    <xdr:to>
      <xdr:col>6</xdr:col>
      <xdr:colOff>171450</xdr:colOff>
      <xdr:row>8</xdr:row>
      <xdr:rowOff>76200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857250" y="790576"/>
              <a:ext cx="2971800" cy="809624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/>
                      </a:rPr>
                      <m:t>𝑓𝑢𝑛</m:t>
                    </m:r>
                    <m:r>
                      <a:rPr lang="en-US" sz="1200" b="0" i="1">
                        <a:latin typeface="Cambria Math"/>
                      </a:rPr>
                      <m:t>_2</m:t>
                    </m:r>
                    <m:d>
                      <m:dPr>
                        <m:ctrlPr>
                          <a:rPr lang="en-US" sz="12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200" b="0" i="1">
                            <a:latin typeface="Cambria Math"/>
                          </a:rPr>
                          <m:t>𝑥</m:t>
                        </m:r>
                        <m:r>
                          <a:rPr lang="en-US" sz="1200" b="0" i="1">
                            <a:latin typeface="Cambria Math"/>
                          </a:rPr>
                          <m:t>,</m:t>
                        </m:r>
                        <m:r>
                          <a:rPr lang="en-US" sz="1200" b="0" i="1">
                            <a:latin typeface="Cambria Math"/>
                          </a:rPr>
                          <m:t>𝑦</m:t>
                        </m:r>
                      </m:e>
                    </m:d>
                    <m:r>
                      <a:rPr lang="en-US" sz="12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200" b="0" i="1">
                            <a:latin typeface="Cambria Math"/>
                          </a:rPr>
                          <m:t>𝐵</m:t>
                        </m:r>
                        <m:sSup>
                          <m:sSupPr>
                            <m:ctrlPr>
                              <a:rPr lang="en-US" sz="12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200" b="0" i="1">
                                <a:latin typeface="Cambria Math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200" b="0" i="1">
                                <a:latin typeface="Cambria Math"/>
                              </a:rPr>
                              <m:t>0.04</m:t>
                            </m:r>
                            <m:r>
                              <a:rPr lang="en-US" sz="1200" b="0" i="1">
                                <a:latin typeface="Cambria Math"/>
                              </a:rPr>
                              <m:t>𝑦</m:t>
                            </m:r>
                          </m:sup>
                        </m:sSup>
                        <m:func>
                          <m:funcPr>
                            <m:ctrlPr>
                              <a:rPr lang="en-US" sz="1200" b="0" i="1">
                                <a:latin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latin typeface="Cambria Math"/>
                              </a:rPr>
                              <m:t>sin</m:t>
                            </m:r>
                          </m:fName>
                          <m:e>
                            <m:r>
                              <a:rPr lang="en-US" sz="1200" b="0" i="1">
                                <a:latin typeface="Cambria Math"/>
                              </a:rPr>
                              <m:t>5</m:t>
                            </m:r>
                            <m:r>
                              <a:rPr lang="en-US" sz="1200" b="0" i="1">
                                <a:latin typeface="Cambria Math"/>
                              </a:rPr>
                              <m:t>𝑥</m:t>
                            </m:r>
                          </m:e>
                        </m:func>
                        <m:func>
                          <m:funcPr>
                            <m:ctrlPr>
                              <a:rPr lang="en-US" sz="1200" b="0" i="1">
                                <a:latin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latin typeface="Cambria Math"/>
                              </a:rPr>
                              <m:t>cos</m:t>
                            </m:r>
                          </m:fName>
                          <m:e>
                            <m:r>
                              <a:rPr lang="en-US" sz="1200" b="0" i="1">
                                <a:latin typeface="Cambria Math"/>
                              </a:rPr>
                              <m:t>6</m:t>
                            </m:r>
                            <m:r>
                              <a:rPr lang="en-US" sz="1200" b="0" i="1">
                                <a:latin typeface="Cambria Math"/>
                              </a:rPr>
                              <m:t>𝑦</m:t>
                            </m:r>
                          </m:e>
                        </m:func>
                      </m:num>
                      <m:den>
                        <m:func>
                          <m:funcPr>
                            <m:ctrlPr>
                              <a:rPr lang="en-US" sz="1200" b="0" i="1">
                                <a:latin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latin typeface="Cambria Math"/>
                              </a:rPr>
                              <m:t>sin</m:t>
                            </m:r>
                          </m:fName>
                          <m:e>
                            <m:r>
                              <a:rPr lang="en-US" sz="1200" b="0" i="1">
                                <a:latin typeface="Cambria Math"/>
                              </a:rPr>
                              <m:t>𝑥</m:t>
                            </m:r>
                          </m:e>
                        </m:func>
                        <m:func>
                          <m:funcPr>
                            <m:ctrlPr>
                              <a:rPr lang="en-US" sz="1200" b="0" i="1">
                                <a:latin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200" b="0" i="0">
                                <a:latin typeface="Cambria Math"/>
                              </a:rPr>
                              <m:t>cos</m:t>
                            </m:r>
                          </m:fName>
                          <m:e>
                            <m:r>
                              <a:rPr lang="en-US" sz="1200" b="0" i="1">
                                <a:latin typeface="Cambria Math"/>
                              </a:rPr>
                              <m:t>𝑥</m:t>
                            </m:r>
                          </m:e>
                        </m:func>
                      </m:den>
                    </m:f>
                  </m:oMath>
                </m:oMathPara>
              </a14:m>
              <a:endParaRPr lang="en-US" sz="1200"/>
            </a:p>
            <a:p>
              <a:r>
                <a:rPr lang="en-US" sz="1200"/>
                <a:t>	</a:t>
              </a:r>
              <a:r>
                <a:rPr lang="en-US" sz="1200">
                  <a:latin typeface="Cambria Math" pitchFamily="18" charset="0"/>
                  <a:ea typeface="Cambria Math" pitchFamily="18" charset="0"/>
                </a:rPr>
                <a:t>where </a:t>
              </a:r>
              <a:r>
                <a:rPr lang="en-US" sz="1200" i="1">
                  <a:latin typeface="Cambria Math" pitchFamily="18" charset="0"/>
                  <a:ea typeface="Cambria Math" pitchFamily="18" charset="0"/>
                </a:rPr>
                <a:t>B</a:t>
              </a:r>
              <a:r>
                <a:rPr lang="en-US" sz="1200">
                  <a:latin typeface="Cambria Math" pitchFamily="18" charset="0"/>
                  <a:ea typeface="Cambria Math" pitchFamily="18" charset="0"/>
                </a:rPr>
                <a:t> = 0.5</a:t>
              </a: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57250" y="790576"/>
              <a:ext cx="2971800" cy="809624"/>
            </a:xfrm>
            <a:prstGeom prst="rect">
              <a:avLst/>
            </a:prstGeom>
            <a:noFill/>
          </xdr:spPr>
          <xdr:txBody>
            <a:bodyPr wrap="square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b="0" i="0">
                  <a:latin typeface="Cambria Math"/>
                </a:rPr>
                <a:t>𝑓𝑢𝑛_2(𝑥,𝑦)=(𝐵𝑒^0.04𝑦  sin⁡5𝑥  cos⁡6𝑦)/(sin⁡𝑥  cos⁡𝑥 )</a:t>
              </a:r>
              <a:endParaRPr lang="en-US" sz="1200"/>
            </a:p>
            <a:p>
              <a:r>
                <a:rPr lang="en-US" sz="1200"/>
                <a:t>	</a:t>
              </a:r>
              <a:r>
                <a:rPr lang="en-US" sz="1200">
                  <a:latin typeface="Cambria Math" pitchFamily="18" charset="0"/>
                  <a:ea typeface="Cambria Math" pitchFamily="18" charset="0"/>
                </a:rPr>
                <a:t>where </a:t>
              </a:r>
              <a:r>
                <a:rPr lang="en-US" sz="1200" i="1">
                  <a:latin typeface="Cambria Math" pitchFamily="18" charset="0"/>
                  <a:ea typeface="Cambria Math" pitchFamily="18" charset="0"/>
                </a:rPr>
                <a:t>B</a:t>
              </a:r>
              <a:r>
                <a:rPr lang="en-US" sz="1200">
                  <a:latin typeface="Cambria Math" pitchFamily="18" charset="0"/>
                  <a:ea typeface="Cambria Math" pitchFamily="18" charset="0"/>
                </a:rPr>
                <a:t> = 0.5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4</xdr:row>
      <xdr:rowOff>104774</xdr:rowOff>
    </xdr:from>
    <xdr:to>
      <xdr:col>5</xdr:col>
      <xdr:colOff>95250</xdr:colOff>
      <xdr:row>6</xdr:row>
      <xdr:rowOff>33282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133475" y="866774"/>
              <a:ext cx="2009775" cy="3095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/>
                      </a:rPr>
                      <m:t>𝑓𝑢𝑛</m:t>
                    </m:r>
                    <m:r>
                      <a:rPr lang="en-US" sz="1200" b="0" i="1">
                        <a:latin typeface="Cambria Math"/>
                      </a:rPr>
                      <m:t>_3</m:t>
                    </m:r>
                    <m:d>
                      <m:dPr>
                        <m:ctrlPr>
                          <a:rPr lang="en-US" sz="12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200" b="0" i="1">
                            <a:latin typeface="Cambria Math"/>
                          </a:rPr>
                          <m:t>𝐴</m:t>
                        </m:r>
                        <m:r>
                          <a:rPr lang="en-US" sz="1200" b="0" i="1">
                            <a:latin typeface="Cambria Math"/>
                          </a:rPr>
                          <m:t>,</m:t>
                        </m:r>
                        <m:r>
                          <a:rPr lang="en-US" sz="1200" b="0" i="1">
                            <a:latin typeface="Cambria Math"/>
                          </a:rPr>
                          <m:t>𝑘</m:t>
                        </m:r>
                        <m:r>
                          <a:rPr lang="en-US" sz="1200" b="0" i="1">
                            <a:latin typeface="Cambria Math"/>
                          </a:rPr>
                          <m:t>,</m:t>
                        </m:r>
                        <m:r>
                          <a:rPr lang="en-US" sz="1200" b="0" i="1">
                            <a:latin typeface="Cambria Math"/>
                          </a:rPr>
                          <m:t>𝑥</m:t>
                        </m:r>
                      </m:e>
                    </m:d>
                    <m:r>
                      <a:rPr lang="en-US" sz="1200" b="0" i="1">
                        <a:latin typeface="Cambria Math"/>
                      </a:rPr>
                      <m:t>=</m:t>
                    </m:r>
                    <m:r>
                      <a:rPr lang="en-US" sz="1200" b="0" i="1">
                        <a:latin typeface="Cambria Math"/>
                      </a:rPr>
                      <m:t>𝐴</m:t>
                    </m:r>
                    <m:sSup>
                      <m:sSupPr>
                        <m:ctrlPr>
                          <a:rPr lang="en-US" sz="12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𝑒</m:t>
                        </m:r>
                      </m:e>
                      <m:sup>
                        <m:sSup>
                          <m:sSupPr>
                            <m:ctrlPr>
                              <a:rPr lang="en-US" sz="12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200" b="0" i="1">
                                <a:latin typeface="Cambria Math"/>
                              </a:rPr>
                              <m:t>𝑘</m:t>
                            </m:r>
                          </m:e>
                          <m:sup>
                            <m:r>
                              <a:rPr lang="en-US" sz="12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sup>
                    </m:sSup>
                    <m:func>
                      <m:funcPr>
                        <m:ctrlPr>
                          <a:rPr lang="en-US" sz="1200" b="0" i="1">
                            <a:latin typeface="Cambria Math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200" b="0" i="0">
                            <a:latin typeface="Cambria Math"/>
                          </a:rPr>
                          <m:t>cos</m:t>
                        </m:r>
                      </m:fName>
                      <m:e>
                        <m:r>
                          <a:rPr lang="en-US" sz="1200" b="0" i="1">
                            <a:latin typeface="Cambria Math"/>
                          </a:rPr>
                          <m:t>𝑥</m:t>
                        </m:r>
                      </m:e>
                    </m:func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133475" y="866774"/>
              <a:ext cx="2009775" cy="309508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b="0" i="0">
                  <a:latin typeface="Cambria Math"/>
                </a:rPr>
                <a:t>𝑓𝑢𝑛_3(𝐴,𝑘,𝑥)=𝐴𝑒^(𝑘^2 )  cos⁡𝑥</a:t>
              </a:r>
              <a:endParaRPr lang="en-US" sz="12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114300</xdr:rowOff>
        </xdr:from>
        <xdr:to>
          <xdr:col>6</xdr:col>
          <xdr:colOff>400050</xdr:colOff>
          <xdr:row>11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me,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Say Hi!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3</xdr:row>
          <xdr:rowOff>66675</xdr:rowOff>
        </xdr:from>
        <xdr:to>
          <xdr:col>7</xdr:col>
          <xdr:colOff>314325</xdr:colOff>
          <xdr:row>8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Caculate the total sum of the values.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114300</xdr:rowOff>
        </xdr:from>
        <xdr:to>
          <xdr:col>5</xdr:col>
          <xdr:colOff>552450</xdr:colOff>
          <xdr:row>11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Cone Volume and Area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0"/>
  <sheetViews>
    <sheetView workbookViewId="0">
      <selection activeCell="A9" sqref="A9"/>
    </sheetView>
  </sheetViews>
  <sheetFormatPr defaultRowHeight="15" x14ac:dyDescent="0.25"/>
  <sheetData>
    <row r="1" spans="1:7" x14ac:dyDescent="0.25">
      <c r="A1" t="s">
        <v>0</v>
      </c>
      <c r="D1" t="s">
        <v>1</v>
      </c>
      <c r="F1" t="s">
        <v>2</v>
      </c>
      <c r="G1" t="s">
        <v>3</v>
      </c>
    </row>
    <row r="3" spans="1:7" x14ac:dyDescent="0.25">
      <c r="A3" s="7" t="s">
        <v>15</v>
      </c>
      <c r="B3" s="8"/>
      <c r="C3" s="8"/>
      <c r="D3" s="8"/>
      <c r="E3" s="8"/>
      <c r="F3" s="8"/>
      <c r="G3" s="9"/>
    </row>
    <row r="4" spans="1:7" x14ac:dyDescent="0.25">
      <c r="A4" s="10"/>
      <c r="B4" s="11"/>
      <c r="C4" s="11"/>
      <c r="D4" s="11"/>
      <c r="E4" s="11"/>
      <c r="F4" s="11"/>
      <c r="G4" s="12"/>
    </row>
    <row r="5" spans="1:7" x14ac:dyDescent="0.25">
      <c r="A5" s="10"/>
      <c r="B5" s="11"/>
      <c r="C5" s="11"/>
      <c r="D5" s="11"/>
      <c r="E5" s="11"/>
      <c r="F5" s="11"/>
      <c r="G5" s="12"/>
    </row>
    <row r="6" spans="1:7" x14ac:dyDescent="0.25">
      <c r="A6" s="10"/>
      <c r="B6" s="11"/>
      <c r="C6" s="11"/>
      <c r="D6" s="11"/>
      <c r="E6" s="11"/>
      <c r="F6" s="11"/>
      <c r="G6" s="12"/>
    </row>
    <row r="7" spans="1:7" x14ac:dyDescent="0.25">
      <c r="A7" s="10"/>
      <c r="B7" s="11"/>
      <c r="C7" s="11"/>
      <c r="D7" s="11"/>
      <c r="E7" s="11"/>
      <c r="F7" s="11"/>
      <c r="G7" s="12"/>
    </row>
    <row r="8" spans="1:7" x14ac:dyDescent="0.25">
      <c r="A8" s="13"/>
      <c r="B8" s="14"/>
      <c r="C8" s="14"/>
      <c r="D8" s="14"/>
      <c r="E8" s="14"/>
      <c r="F8" s="14"/>
      <c r="G8" s="15"/>
    </row>
    <row r="10" spans="1:7" x14ac:dyDescent="0.25">
      <c r="A10" t="s">
        <v>8</v>
      </c>
      <c r="B10">
        <v>0</v>
      </c>
      <c r="C10" t="s">
        <v>16</v>
      </c>
      <c r="D10">
        <f>xsinx(B10)</f>
        <v>0</v>
      </c>
    </row>
    <row r="11" spans="1:7" x14ac:dyDescent="0.25">
      <c r="B11">
        <v>0.5</v>
      </c>
      <c r="D11">
        <f>xsinx(B11)</f>
        <v>0.2397127693021015</v>
      </c>
    </row>
    <row r="12" spans="1:7" x14ac:dyDescent="0.25">
      <c r="B12">
        <v>1</v>
      </c>
      <c r="D12">
        <f t="shared" ref="D12:D30" si="0">xsinx(B12)</f>
        <v>0.8414709848078965</v>
      </c>
    </row>
    <row r="13" spans="1:7" x14ac:dyDescent="0.25">
      <c r="B13">
        <v>1.5</v>
      </c>
      <c r="D13">
        <f t="shared" si="0"/>
        <v>1.4962424799060816</v>
      </c>
    </row>
    <row r="14" spans="1:7" x14ac:dyDescent="0.25">
      <c r="B14">
        <v>2</v>
      </c>
      <c r="D14">
        <f t="shared" si="0"/>
        <v>1.8185948536513634</v>
      </c>
    </row>
    <row r="15" spans="1:7" x14ac:dyDescent="0.25">
      <c r="B15">
        <v>2.5</v>
      </c>
      <c r="D15">
        <f t="shared" si="0"/>
        <v>1.4961803602598911</v>
      </c>
    </row>
    <row r="16" spans="1:7" x14ac:dyDescent="0.25">
      <c r="B16">
        <v>3</v>
      </c>
      <c r="D16">
        <f t="shared" si="0"/>
        <v>0.42336002417960161</v>
      </c>
    </row>
    <row r="17" spans="2:4" x14ac:dyDescent="0.25">
      <c r="B17">
        <v>3.5</v>
      </c>
      <c r="D17">
        <f t="shared" si="0"/>
        <v>-1.2277412969136694</v>
      </c>
    </row>
    <row r="18" spans="2:4" x14ac:dyDescent="0.25">
      <c r="B18">
        <v>4</v>
      </c>
      <c r="D18">
        <f t="shared" si="0"/>
        <v>-3.0272099812317128</v>
      </c>
    </row>
    <row r="19" spans="2:4" x14ac:dyDescent="0.25">
      <c r="B19">
        <v>4.5</v>
      </c>
      <c r="D19">
        <f t="shared" si="0"/>
        <v>-4.3988855294929365</v>
      </c>
    </row>
    <row r="20" spans="2:4" x14ac:dyDescent="0.25">
      <c r="B20">
        <v>5</v>
      </c>
      <c r="D20">
        <f t="shared" si="0"/>
        <v>-4.7946213733156924</v>
      </c>
    </row>
    <row r="21" spans="2:4" x14ac:dyDescent="0.25">
      <c r="B21">
        <v>5.5</v>
      </c>
      <c r="D21">
        <f t="shared" si="0"/>
        <v>-3.8804717906371557</v>
      </c>
    </row>
    <row r="22" spans="2:4" x14ac:dyDescent="0.25">
      <c r="B22">
        <v>6</v>
      </c>
      <c r="D22">
        <f t="shared" si="0"/>
        <v>-1.6764929891935552</v>
      </c>
    </row>
    <row r="23" spans="2:4" x14ac:dyDescent="0.25">
      <c r="B23">
        <v>6.5</v>
      </c>
      <c r="D23">
        <f t="shared" si="0"/>
        <v>1.3982799225708009</v>
      </c>
    </row>
    <row r="24" spans="2:4" x14ac:dyDescent="0.25">
      <c r="B24">
        <v>7</v>
      </c>
      <c r="D24">
        <f t="shared" si="0"/>
        <v>4.5989061910315234</v>
      </c>
    </row>
    <row r="25" spans="2:4" x14ac:dyDescent="0.25">
      <c r="B25">
        <v>7.5</v>
      </c>
      <c r="D25">
        <f t="shared" si="0"/>
        <v>7.0349998258105417</v>
      </c>
    </row>
    <row r="26" spans="2:4" x14ac:dyDescent="0.25">
      <c r="B26">
        <v>8</v>
      </c>
      <c r="D26">
        <f t="shared" si="0"/>
        <v>7.9148659729870543</v>
      </c>
    </row>
    <row r="27" spans="2:4" x14ac:dyDescent="0.25">
      <c r="B27">
        <v>8.5</v>
      </c>
      <c r="D27">
        <f t="shared" si="0"/>
        <v>6.7871404572996674</v>
      </c>
    </row>
    <row r="28" spans="2:4" x14ac:dyDescent="0.25">
      <c r="B28">
        <v>9</v>
      </c>
      <c r="D28">
        <f t="shared" si="0"/>
        <v>3.7090663671758093</v>
      </c>
    </row>
    <row r="29" spans="2:4" x14ac:dyDescent="0.25">
      <c r="B29">
        <v>9.5</v>
      </c>
      <c r="D29">
        <f t="shared" si="0"/>
        <v>-0.71393564438718837</v>
      </c>
    </row>
    <row r="30" spans="2:4" x14ac:dyDescent="0.25">
      <c r="B30">
        <v>10</v>
      </c>
      <c r="D30">
        <f t="shared" si="0"/>
        <v>-5.4402111088936973</v>
      </c>
    </row>
  </sheetData>
  <mergeCells count="1">
    <mergeCell ref="A3:G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6"/>
  <sheetViews>
    <sheetView workbookViewId="0">
      <selection activeCell="B10" sqref="B10"/>
    </sheetView>
  </sheetViews>
  <sheetFormatPr defaultRowHeight="15" x14ac:dyDescent="0.25"/>
  <sheetData>
    <row r="1" spans="1:13" x14ac:dyDescent="0.25">
      <c r="A1" t="s">
        <v>0</v>
      </c>
      <c r="D1" t="s">
        <v>1</v>
      </c>
      <c r="F1" t="s">
        <v>2</v>
      </c>
      <c r="G1" t="s">
        <v>4</v>
      </c>
    </row>
    <row r="3" spans="1:13" x14ac:dyDescent="0.25">
      <c r="A3" s="16" t="s">
        <v>5</v>
      </c>
      <c r="B3" s="16"/>
      <c r="C3" s="16"/>
      <c r="D3" s="16"/>
      <c r="E3" s="16"/>
      <c r="F3" s="16"/>
      <c r="G3" s="16"/>
    </row>
    <row r="4" spans="1:13" x14ac:dyDescent="0.25">
      <c r="A4" s="16"/>
      <c r="B4" s="16"/>
      <c r="C4" s="16"/>
      <c r="D4" s="16"/>
      <c r="E4" s="16"/>
      <c r="F4" s="16"/>
      <c r="G4" s="16"/>
    </row>
    <row r="5" spans="1:13" x14ac:dyDescent="0.25">
      <c r="A5" s="16"/>
      <c r="B5" s="16"/>
      <c r="C5" s="16"/>
      <c r="D5" s="16"/>
      <c r="E5" s="16"/>
      <c r="F5" s="16"/>
      <c r="G5" s="16"/>
    </row>
    <row r="6" spans="1:13" x14ac:dyDescent="0.25">
      <c r="A6" s="16"/>
      <c r="B6" s="16"/>
      <c r="C6" s="16"/>
      <c r="D6" s="16"/>
      <c r="E6" s="16"/>
      <c r="F6" s="16"/>
      <c r="G6" s="16"/>
    </row>
    <row r="7" spans="1:13" x14ac:dyDescent="0.25">
      <c r="A7" s="16"/>
      <c r="B7" s="16"/>
      <c r="C7" s="16"/>
      <c r="D7" s="16"/>
      <c r="E7" s="16"/>
      <c r="F7" s="16"/>
      <c r="G7" s="16"/>
    </row>
    <row r="8" spans="1:13" x14ac:dyDescent="0.25">
      <c r="A8" s="16"/>
      <c r="B8" s="16"/>
      <c r="C8" s="16"/>
      <c r="D8" s="16"/>
      <c r="E8" s="16"/>
      <c r="F8" s="16"/>
      <c r="G8" s="16"/>
    </row>
    <row r="10" spans="1:13" x14ac:dyDescent="0.25">
      <c r="A10" t="s">
        <v>6</v>
      </c>
      <c r="C10" t="s">
        <v>7</v>
      </c>
    </row>
    <row r="11" spans="1:13" x14ac:dyDescent="0.25">
      <c r="C11">
        <v>0</v>
      </c>
      <c r="D11">
        <v>0.1</v>
      </c>
      <c r="E11">
        <v>0.2</v>
      </c>
      <c r="F11">
        <v>0.3</v>
      </c>
      <c r="G11">
        <v>0.4</v>
      </c>
      <c r="H11">
        <v>0.5</v>
      </c>
      <c r="I11">
        <v>0.6</v>
      </c>
      <c r="J11">
        <v>0.7</v>
      </c>
      <c r="K11">
        <v>0.8</v>
      </c>
      <c r="L11">
        <v>0.9</v>
      </c>
      <c r="M11">
        <v>1</v>
      </c>
    </row>
    <row r="12" spans="1:13" x14ac:dyDescent="0.25">
      <c r="A12" t="s">
        <v>8</v>
      </c>
      <c r="B12">
        <v>0.1</v>
      </c>
      <c r="C12">
        <f>fun_2($B12,C$11)</f>
        <v>2.4131834374514396</v>
      </c>
      <c r="D12">
        <f t="shared" ref="D12:M21" si="0">fun_2($B12,D$11)</f>
        <v>1.9996689359395952</v>
      </c>
      <c r="E12">
        <f t="shared" si="0"/>
        <v>0.88145927409888614</v>
      </c>
      <c r="F12">
        <f t="shared" si="0"/>
        <v>-0.5548993304135259</v>
      </c>
      <c r="G12">
        <f t="shared" si="0"/>
        <v>-1.8081667533881165</v>
      </c>
      <c r="H12">
        <f t="shared" si="0"/>
        <v>-2.4372951739853481</v>
      </c>
      <c r="I12">
        <f t="shared" si="0"/>
        <v>-2.2166078393479371</v>
      </c>
      <c r="J12">
        <f t="shared" si="0"/>
        <v>-1.2166839243280836</v>
      </c>
      <c r="K12">
        <f t="shared" si="0"/>
        <v>0.21801720456727416</v>
      </c>
      <c r="L12">
        <f t="shared" si="0"/>
        <v>1.5877735425738608</v>
      </c>
      <c r="M12">
        <f t="shared" si="0"/>
        <v>2.4116283323450616</v>
      </c>
    </row>
    <row r="13" spans="1:13" x14ac:dyDescent="0.25">
      <c r="B13">
        <v>0.2</v>
      </c>
      <c r="C13">
        <f t="shared" ref="C13:C21" si="1">fun_2($B13,C$11)</f>
        <v>2.160840652289953</v>
      </c>
      <c r="D13">
        <f t="shared" si="0"/>
        <v>1.7905667098656364</v>
      </c>
      <c r="E13">
        <f t="shared" si="0"/>
        <v>0.78928646834341354</v>
      </c>
      <c r="F13">
        <f t="shared" si="0"/>
        <v>-0.49687438280793772</v>
      </c>
      <c r="G13">
        <f t="shared" si="0"/>
        <v>-1.6190896084412596</v>
      </c>
      <c r="H13">
        <f t="shared" si="0"/>
        <v>-2.1824310625717334</v>
      </c>
      <c r="I13">
        <f t="shared" si="0"/>
        <v>-1.984820654374313</v>
      </c>
      <c r="J13">
        <f t="shared" si="0"/>
        <v>-1.0894572057283567</v>
      </c>
      <c r="K13">
        <f t="shared" si="0"/>
        <v>0.19521948941648196</v>
      </c>
      <c r="L13">
        <f t="shared" si="0"/>
        <v>1.4217425680027989</v>
      </c>
      <c r="M13">
        <f t="shared" si="0"/>
        <v>2.1594481620713091</v>
      </c>
    </row>
    <row r="14" spans="1:13" x14ac:dyDescent="0.25">
      <c r="B14">
        <v>0.3</v>
      </c>
      <c r="C14">
        <f t="shared" si="1"/>
        <v>1.766595737310372</v>
      </c>
      <c r="D14">
        <f t="shared" si="0"/>
        <v>1.4638781965094365</v>
      </c>
      <c r="E14">
        <f t="shared" si="0"/>
        <v>0.64528132095930735</v>
      </c>
      <c r="F14">
        <f t="shared" si="0"/>
        <v>-0.40621975790625764</v>
      </c>
      <c r="G14">
        <f t="shared" si="0"/>
        <v>-1.3236870555747215</v>
      </c>
      <c r="H14">
        <f t="shared" si="0"/>
        <v>-1.7842469818527011</v>
      </c>
      <c r="I14">
        <f t="shared" si="0"/>
        <v>-1.6226905503778628</v>
      </c>
      <c r="J14">
        <f t="shared" si="0"/>
        <v>-0.89068597149084316</v>
      </c>
      <c r="K14">
        <f t="shared" si="0"/>
        <v>0.15960173531425548</v>
      </c>
      <c r="L14">
        <f t="shared" si="0"/>
        <v>1.1623459404675347</v>
      </c>
      <c r="M14">
        <f t="shared" si="0"/>
        <v>1.7654573066343771</v>
      </c>
    </row>
    <row r="15" spans="1:13" x14ac:dyDescent="0.25">
      <c r="B15">
        <v>0.4</v>
      </c>
      <c r="C15">
        <f t="shared" si="1"/>
        <v>1.2675677231449665</v>
      </c>
      <c r="D15">
        <f t="shared" si="0"/>
        <v>1.0503618418869893</v>
      </c>
      <c r="E15">
        <f t="shared" si="0"/>
        <v>0.46300223504539267</v>
      </c>
      <c r="F15">
        <f t="shared" si="0"/>
        <v>-0.29147078912897334</v>
      </c>
      <c r="G15">
        <f t="shared" si="0"/>
        <v>-0.94977189843435683</v>
      </c>
      <c r="H15">
        <f t="shared" si="0"/>
        <v>-1.2802328436264974</v>
      </c>
      <c r="I15">
        <f t="shared" si="0"/>
        <v>-1.164312877513725</v>
      </c>
      <c r="J15">
        <f t="shared" si="0"/>
        <v>-0.6390849729088055</v>
      </c>
      <c r="K15">
        <f t="shared" si="0"/>
        <v>0.11451743257927574</v>
      </c>
      <c r="L15">
        <f t="shared" si="0"/>
        <v>0.83400642611557207</v>
      </c>
      <c r="M15">
        <f t="shared" si="0"/>
        <v>1.2667508763987347</v>
      </c>
    </row>
    <row r="16" spans="1:13" x14ac:dyDescent="0.25">
      <c r="B16">
        <v>0.5</v>
      </c>
      <c r="C16">
        <f t="shared" si="1"/>
        <v>0.71122136699768035</v>
      </c>
      <c r="D16">
        <f t="shared" si="0"/>
        <v>0.5893490118031588</v>
      </c>
      <c r="E16">
        <f t="shared" si="0"/>
        <v>0.25978657906730646</v>
      </c>
      <c r="F16">
        <f t="shared" si="0"/>
        <v>-0.1635417574138506</v>
      </c>
      <c r="G16">
        <f t="shared" si="0"/>
        <v>-0.53290885812750488</v>
      </c>
      <c r="H16">
        <f t="shared" si="0"/>
        <v>-0.71832765736591064</v>
      </c>
      <c r="I16">
        <f t="shared" si="0"/>
        <v>-0.65328595958861413</v>
      </c>
      <c r="J16">
        <f t="shared" si="0"/>
        <v>-0.35858509155797852</v>
      </c>
      <c r="K16">
        <f t="shared" si="0"/>
        <v>6.4254748252833505E-2</v>
      </c>
      <c r="L16">
        <f t="shared" si="0"/>
        <v>0.4679538454916381</v>
      </c>
      <c r="M16">
        <f t="shared" si="0"/>
        <v>0.71076304130125034</v>
      </c>
    </row>
    <row r="17" spans="1:13" x14ac:dyDescent="0.25">
      <c r="B17">
        <v>0.6</v>
      </c>
      <c r="C17">
        <f t="shared" si="1"/>
        <v>0.15140996786998423</v>
      </c>
      <c r="D17">
        <f t="shared" si="0"/>
        <v>0.12546489613776501</v>
      </c>
      <c r="E17">
        <f t="shared" si="0"/>
        <v>5.5305252928041282E-2</v>
      </c>
      <c r="F17">
        <f t="shared" si="0"/>
        <v>-3.4815956584601085E-2</v>
      </c>
      <c r="G17">
        <f t="shared" si="0"/>
        <v>-0.11344950648393366</v>
      </c>
      <c r="H17">
        <f t="shared" si="0"/>
        <v>-0.15292280655320681</v>
      </c>
      <c r="I17">
        <f t="shared" si="0"/>
        <v>-0.13907625774627003</v>
      </c>
      <c r="J17">
        <f t="shared" si="0"/>
        <v>-7.6338197515972483E-2</v>
      </c>
      <c r="K17">
        <f t="shared" si="0"/>
        <v>1.3679017279140851E-2</v>
      </c>
      <c r="L17">
        <f t="shared" si="0"/>
        <v>9.9621411839213719E-2</v>
      </c>
      <c r="M17">
        <f t="shared" si="0"/>
        <v>0.15131239616841485</v>
      </c>
    </row>
    <row r="18" spans="1:13" x14ac:dyDescent="0.25">
      <c r="B18">
        <v>0.7</v>
      </c>
      <c r="C18">
        <f t="shared" si="1"/>
        <v>-0.35596257933291792</v>
      </c>
      <c r="D18">
        <f t="shared" si="0"/>
        <v>-0.2949661021213989</v>
      </c>
      <c r="E18">
        <f t="shared" si="0"/>
        <v>-0.13002182590666603</v>
      </c>
      <c r="F18">
        <f t="shared" si="0"/>
        <v>8.1851795374790079E-2</v>
      </c>
      <c r="G18">
        <f t="shared" si="0"/>
        <v>0.26671810000478424</v>
      </c>
      <c r="H18">
        <f t="shared" si="0"/>
        <v>0.35951924054466156</v>
      </c>
      <c r="I18">
        <f t="shared" si="0"/>
        <v>0.3269662105327355</v>
      </c>
      <c r="J18">
        <f t="shared" si="0"/>
        <v>0.17946996536413798</v>
      </c>
      <c r="K18">
        <f t="shared" si="0"/>
        <v>-3.2159165885324865E-2</v>
      </c>
      <c r="L18">
        <f t="shared" si="0"/>
        <v>-0.23420845545337016</v>
      </c>
      <c r="M18">
        <f t="shared" si="0"/>
        <v>-0.35573318971578016</v>
      </c>
    </row>
    <row r="19" spans="1:13" x14ac:dyDescent="0.25">
      <c r="B19">
        <v>0.8</v>
      </c>
      <c r="C19">
        <f t="shared" si="1"/>
        <v>-0.75712533124637105</v>
      </c>
      <c r="D19">
        <f t="shared" si="0"/>
        <v>-0.62738703656331984</v>
      </c>
      <c r="E19">
        <f t="shared" si="0"/>
        <v>-0.27655383943257922</v>
      </c>
      <c r="F19">
        <f t="shared" si="0"/>
        <v>0.1740971419029079</v>
      </c>
      <c r="G19">
        <f t="shared" si="0"/>
        <v>0.56730409750924771</v>
      </c>
      <c r="H19">
        <f t="shared" si="0"/>
        <v>0.76469027895272546</v>
      </c>
      <c r="I19">
        <f t="shared" si="0"/>
        <v>0.69545063113063954</v>
      </c>
      <c r="J19">
        <f t="shared" si="0"/>
        <v>0.38172904924372197</v>
      </c>
      <c r="K19">
        <f t="shared" si="0"/>
        <v>-6.8401906653118627E-2</v>
      </c>
      <c r="L19">
        <f t="shared" si="0"/>
        <v>-0.49815672969935565</v>
      </c>
      <c r="M19">
        <f t="shared" si="0"/>
        <v>-0.75663742408999146</v>
      </c>
    </row>
    <row r="20" spans="1:13" x14ac:dyDescent="0.25">
      <c r="B20">
        <v>0.9</v>
      </c>
      <c r="C20">
        <f t="shared" si="1"/>
        <v>-1.0037813788010976</v>
      </c>
      <c r="D20">
        <f t="shared" si="0"/>
        <v>-0.83177698409160494</v>
      </c>
      <c r="E20">
        <f t="shared" si="0"/>
        <v>-0.36664946053434827</v>
      </c>
      <c r="F20">
        <f t="shared" si="0"/>
        <v>0.23081445294790329</v>
      </c>
      <c r="G20">
        <f t="shared" si="0"/>
        <v>0.75212024442495407</v>
      </c>
      <c r="H20">
        <f t="shared" si="0"/>
        <v>1.0138108327446635</v>
      </c>
      <c r="I20">
        <f t="shared" si="0"/>
        <v>0.92201431466469996</v>
      </c>
      <c r="J20">
        <f t="shared" si="0"/>
        <v>0.50608861646132097</v>
      </c>
      <c r="K20">
        <f t="shared" si="0"/>
        <v>-9.0685857861687383E-2</v>
      </c>
      <c r="L20">
        <f t="shared" si="0"/>
        <v>-0.66044606930995686</v>
      </c>
      <c r="M20">
        <f t="shared" si="0"/>
        <v>-1.0031345214078158</v>
      </c>
    </row>
    <row r="21" spans="1:13" x14ac:dyDescent="0.25">
      <c r="B21">
        <v>1</v>
      </c>
      <c r="C21">
        <f t="shared" si="1"/>
        <v>-1.054577134360428</v>
      </c>
      <c r="D21">
        <f t="shared" si="0"/>
        <v>-0.87386856026156512</v>
      </c>
      <c r="E21">
        <f t="shared" si="0"/>
        <v>-0.385203536916506</v>
      </c>
      <c r="F21">
        <f t="shared" si="0"/>
        <v>0.24249468011600012</v>
      </c>
      <c r="G21">
        <f t="shared" si="0"/>
        <v>0.79018083898655544</v>
      </c>
      <c r="H21">
        <f t="shared" si="0"/>
        <v>1.0651141228146652</v>
      </c>
      <c r="I21">
        <f t="shared" si="0"/>
        <v>0.96867229690964862</v>
      </c>
      <c r="J21">
        <f t="shared" si="0"/>
        <v>0.53169892782596628</v>
      </c>
      <c r="K21">
        <f t="shared" si="0"/>
        <v>-9.5274961391514104E-2</v>
      </c>
      <c r="L21">
        <f t="shared" si="0"/>
        <v>-0.69386754713898202</v>
      </c>
      <c r="M21">
        <f t="shared" si="0"/>
        <v>-1.0538975431361299</v>
      </c>
    </row>
    <row r="24" spans="1:13" x14ac:dyDescent="0.25">
      <c r="A24" t="s">
        <v>10</v>
      </c>
      <c r="B24">
        <v>0.5</v>
      </c>
    </row>
    <row r="25" spans="1:13" x14ac:dyDescent="0.25">
      <c r="A25" t="s">
        <v>9</v>
      </c>
      <c r="C25" t="s">
        <v>7</v>
      </c>
    </row>
    <row r="26" spans="1:13" x14ac:dyDescent="0.25">
      <c r="C26">
        <v>0</v>
      </c>
      <c r="D26">
        <v>0.1</v>
      </c>
      <c r="E26">
        <v>0.2</v>
      </c>
      <c r="F26">
        <v>0.3</v>
      </c>
      <c r="G26">
        <v>0.4</v>
      </c>
      <c r="H26">
        <v>0.5</v>
      </c>
      <c r="I26">
        <v>0.6</v>
      </c>
      <c r="J26">
        <v>0.7</v>
      </c>
      <c r="K26">
        <v>0.8</v>
      </c>
      <c r="L26">
        <v>0.9</v>
      </c>
      <c r="M26">
        <v>1</v>
      </c>
    </row>
    <row r="27" spans="1:13" x14ac:dyDescent="0.25">
      <c r="A27" t="s">
        <v>8</v>
      </c>
      <c r="B27">
        <v>0.1</v>
      </c>
      <c r="C27">
        <f t="shared" ref="C27:M36" si="2">(B*EXP(0.04*C$26)*SIN(5*$B27)*COS(6*C$26))/(SIN($B27)*COS($B27))</f>
        <v>2.4131834374514396</v>
      </c>
      <c r="D27">
        <f t="shared" si="2"/>
        <v>1.9996689359395952</v>
      </c>
      <c r="E27">
        <f t="shared" si="2"/>
        <v>0.88145927409888614</v>
      </c>
      <c r="F27">
        <f t="shared" si="2"/>
        <v>-0.5548993304135259</v>
      </c>
      <c r="G27">
        <f t="shared" si="2"/>
        <v>-1.8081667533881165</v>
      </c>
      <c r="H27">
        <f t="shared" si="2"/>
        <v>-2.4372951739853481</v>
      </c>
      <c r="I27">
        <f t="shared" si="2"/>
        <v>-2.2166078393479371</v>
      </c>
      <c r="J27">
        <f t="shared" si="2"/>
        <v>-1.2166839243280836</v>
      </c>
      <c r="K27">
        <f t="shared" si="2"/>
        <v>0.21801720456727416</v>
      </c>
      <c r="L27">
        <f t="shared" si="2"/>
        <v>1.5877735425738608</v>
      </c>
      <c r="M27">
        <f t="shared" si="2"/>
        <v>2.4116283323450616</v>
      </c>
    </row>
    <row r="28" spans="1:13" x14ac:dyDescent="0.25">
      <c r="B28">
        <v>0.2</v>
      </c>
      <c r="C28">
        <f t="shared" si="2"/>
        <v>2.160840652289953</v>
      </c>
      <c r="D28">
        <f t="shared" si="2"/>
        <v>1.7905667098656364</v>
      </c>
      <c r="E28">
        <f t="shared" si="2"/>
        <v>0.78928646834341354</v>
      </c>
      <c r="F28">
        <f t="shared" si="2"/>
        <v>-0.49687438280793772</v>
      </c>
      <c r="G28">
        <f t="shared" si="2"/>
        <v>-1.6190896084412596</v>
      </c>
      <c r="H28">
        <f t="shared" si="2"/>
        <v>-2.1824310625717334</v>
      </c>
      <c r="I28">
        <f t="shared" si="2"/>
        <v>-1.984820654374313</v>
      </c>
      <c r="J28">
        <f t="shared" si="2"/>
        <v>-1.0894572057283567</v>
      </c>
      <c r="K28">
        <f t="shared" si="2"/>
        <v>0.19521948941648196</v>
      </c>
      <c r="L28">
        <f t="shared" si="2"/>
        <v>1.4217425680027989</v>
      </c>
      <c r="M28">
        <f t="shared" si="2"/>
        <v>2.1594481620713091</v>
      </c>
    </row>
    <row r="29" spans="1:13" x14ac:dyDescent="0.25">
      <c r="B29">
        <v>0.3</v>
      </c>
      <c r="C29">
        <f t="shared" si="2"/>
        <v>1.766595737310372</v>
      </c>
      <c r="D29">
        <f t="shared" si="2"/>
        <v>1.4638781965094365</v>
      </c>
      <c r="E29">
        <f t="shared" si="2"/>
        <v>0.64528132095930735</v>
      </c>
      <c r="F29">
        <f t="shared" si="2"/>
        <v>-0.40621975790625764</v>
      </c>
      <c r="G29">
        <f t="shared" si="2"/>
        <v>-1.3236870555747215</v>
      </c>
      <c r="H29">
        <f t="shared" si="2"/>
        <v>-1.7842469818527011</v>
      </c>
      <c r="I29">
        <f t="shared" si="2"/>
        <v>-1.6226905503778628</v>
      </c>
      <c r="J29">
        <f t="shared" si="2"/>
        <v>-0.89068597149084316</v>
      </c>
      <c r="K29">
        <f t="shared" si="2"/>
        <v>0.15960173531425548</v>
      </c>
      <c r="L29">
        <f t="shared" si="2"/>
        <v>1.1623459404675347</v>
      </c>
      <c r="M29">
        <f t="shared" si="2"/>
        <v>1.7654573066343771</v>
      </c>
    </row>
    <row r="30" spans="1:13" x14ac:dyDescent="0.25">
      <c r="B30">
        <v>0.4</v>
      </c>
      <c r="C30">
        <f t="shared" si="2"/>
        <v>1.2675677231449665</v>
      </c>
      <c r="D30">
        <f t="shared" si="2"/>
        <v>1.0503618418869893</v>
      </c>
      <c r="E30">
        <f t="shared" si="2"/>
        <v>0.46300223504539267</v>
      </c>
      <c r="F30">
        <f t="shared" si="2"/>
        <v>-0.29147078912897334</v>
      </c>
      <c r="G30">
        <f t="shared" si="2"/>
        <v>-0.94977189843435683</v>
      </c>
      <c r="H30">
        <f t="shared" si="2"/>
        <v>-1.2802328436264974</v>
      </c>
      <c r="I30">
        <f t="shared" si="2"/>
        <v>-1.164312877513725</v>
      </c>
      <c r="J30">
        <f t="shared" si="2"/>
        <v>-0.6390849729088055</v>
      </c>
      <c r="K30">
        <f t="shared" si="2"/>
        <v>0.11451743257927574</v>
      </c>
      <c r="L30">
        <f t="shared" si="2"/>
        <v>0.83400642611557207</v>
      </c>
      <c r="M30">
        <f t="shared" si="2"/>
        <v>1.2667508763987347</v>
      </c>
    </row>
    <row r="31" spans="1:13" x14ac:dyDescent="0.25">
      <c r="B31">
        <v>0.5</v>
      </c>
      <c r="C31">
        <f t="shared" si="2"/>
        <v>0.71122136699768046</v>
      </c>
      <c r="D31">
        <f t="shared" si="2"/>
        <v>0.58934901180315891</v>
      </c>
      <c r="E31">
        <f t="shared" si="2"/>
        <v>0.25978657906730651</v>
      </c>
      <c r="F31">
        <f t="shared" si="2"/>
        <v>-0.16354175741385063</v>
      </c>
      <c r="G31">
        <f t="shared" si="2"/>
        <v>-0.53290885812750499</v>
      </c>
      <c r="H31">
        <f t="shared" si="2"/>
        <v>-0.71832765736591075</v>
      </c>
      <c r="I31">
        <f t="shared" si="2"/>
        <v>-0.65328595958861424</v>
      </c>
      <c r="J31">
        <f t="shared" si="2"/>
        <v>-0.35858509155797863</v>
      </c>
      <c r="K31">
        <f t="shared" si="2"/>
        <v>6.4254748252833518E-2</v>
      </c>
      <c r="L31">
        <f t="shared" si="2"/>
        <v>0.46795384549163815</v>
      </c>
      <c r="M31">
        <f t="shared" si="2"/>
        <v>0.71076304130125045</v>
      </c>
    </row>
    <row r="32" spans="1:13" x14ac:dyDescent="0.25">
      <c r="B32">
        <v>0.6</v>
      </c>
      <c r="C32">
        <f t="shared" si="2"/>
        <v>0.15140996786998423</v>
      </c>
      <c r="D32">
        <f t="shared" si="2"/>
        <v>0.12546489613776501</v>
      </c>
      <c r="E32">
        <f t="shared" si="2"/>
        <v>5.5305252928041282E-2</v>
      </c>
      <c r="F32">
        <f t="shared" si="2"/>
        <v>-3.4815956584601085E-2</v>
      </c>
      <c r="G32">
        <f t="shared" si="2"/>
        <v>-0.11344950648393366</v>
      </c>
      <c r="H32">
        <f t="shared" si="2"/>
        <v>-0.15292280655320681</v>
      </c>
      <c r="I32">
        <f t="shared" si="2"/>
        <v>-0.13907625774627003</v>
      </c>
      <c r="J32">
        <f t="shared" si="2"/>
        <v>-7.6338197515972483E-2</v>
      </c>
      <c r="K32">
        <f t="shared" si="2"/>
        <v>1.3679017279140851E-2</v>
      </c>
      <c r="L32">
        <f t="shared" si="2"/>
        <v>9.9621411839213719E-2</v>
      </c>
      <c r="M32">
        <f t="shared" si="2"/>
        <v>0.15131239616841485</v>
      </c>
    </row>
    <row r="33" spans="2:13" x14ac:dyDescent="0.25">
      <c r="B33">
        <v>0.7</v>
      </c>
      <c r="C33">
        <f t="shared" si="2"/>
        <v>-0.35596257933291792</v>
      </c>
      <c r="D33">
        <f t="shared" si="2"/>
        <v>-0.2949661021213989</v>
      </c>
      <c r="E33">
        <f t="shared" si="2"/>
        <v>-0.13002182590666603</v>
      </c>
      <c r="F33">
        <f t="shared" si="2"/>
        <v>8.1851795374790079E-2</v>
      </c>
      <c r="G33">
        <f t="shared" si="2"/>
        <v>0.26671810000478424</v>
      </c>
      <c r="H33">
        <f t="shared" si="2"/>
        <v>0.35951924054466156</v>
      </c>
      <c r="I33">
        <f t="shared" si="2"/>
        <v>0.3269662105327355</v>
      </c>
      <c r="J33">
        <f t="shared" si="2"/>
        <v>0.17946996536413798</v>
      </c>
      <c r="K33">
        <f t="shared" si="2"/>
        <v>-3.2159165885324865E-2</v>
      </c>
      <c r="L33">
        <f t="shared" si="2"/>
        <v>-0.23420845545337016</v>
      </c>
      <c r="M33">
        <f t="shared" si="2"/>
        <v>-0.35573318971578016</v>
      </c>
    </row>
    <row r="34" spans="2:13" x14ac:dyDescent="0.25">
      <c r="B34">
        <v>0.8</v>
      </c>
      <c r="C34">
        <f t="shared" si="2"/>
        <v>-0.75712533124637105</v>
      </c>
      <c r="D34">
        <f t="shared" si="2"/>
        <v>-0.62738703656331984</v>
      </c>
      <c r="E34">
        <f t="shared" si="2"/>
        <v>-0.27655383943257922</v>
      </c>
      <c r="F34">
        <f t="shared" si="2"/>
        <v>0.1740971419029079</v>
      </c>
      <c r="G34">
        <f t="shared" si="2"/>
        <v>0.56730409750924771</v>
      </c>
      <c r="H34">
        <f t="shared" si="2"/>
        <v>0.76469027895272546</v>
      </c>
      <c r="I34">
        <f t="shared" si="2"/>
        <v>0.69545063113063954</v>
      </c>
      <c r="J34">
        <f t="shared" si="2"/>
        <v>0.38172904924372197</v>
      </c>
      <c r="K34">
        <f t="shared" si="2"/>
        <v>-6.8401906653118627E-2</v>
      </c>
      <c r="L34">
        <f t="shared" si="2"/>
        <v>-0.49815672969935565</v>
      </c>
      <c r="M34">
        <f t="shared" si="2"/>
        <v>-0.75663742408999146</v>
      </c>
    </row>
    <row r="35" spans="2:13" x14ac:dyDescent="0.25">
      <c r="B35">
        <v>0.9</v>
      </c>
      <c r="C35">
        <f t="shared" si="2"/>
        <v>-1.0037813788010976</v>
      </c>
      <c r="D35">
        <f t="shared" si="2"/>
        <v>-0.83177698409160494</v>
      </c>
      <c r="E35">
        <f t="shared" si="2"/>
        <v>-0.36664946053434827</v>
      </c>
      <c r="F35">
        <f t="shared" si="2"/>
        <v>0.23081445294790329</v>
      </c>
      <c r="G35">
        <f t="shared" si="2"/>
        <v>0.75212024442495407</v>
      </c>
      <c r="H35">
        <f t="shared" si="2"/>
        <v>1.0138108327446635</v>
      </c>
      <c r="I35">
        <f t="shared" si="2"/>
        <v>0.92201431466469996</v>
      </c>
      <c r="J35">
        <f t="shared" si="2"/>
        <v>0.50608861646132097</v>
      </c>
      <c r="K35">
        <f t="shared" si="2"/>
        <v>-9.0685857861687383E-2</v>
      </c>
      <c r="L35">
        <f t="shared" si="2"/>
        <v>-0.66044606930995686</v>
      </c>
      <c r="M35">
        <f t="shared" si="2"/>
        <v>-1.0031345214078158</v>
      </c>
    </row>
    <row r="36" spans="2:13" x14ac:dyDescent="0.25">
      <c r="B36">
        <v>1</v>
      </c>
      <c r="C36">
        <f t="shared" si="2"/>
        <v>-1.054577134360428</v>
      </c>
      <c r="D36">
        <f t="shared" si="2"/>
        <v>-0.87386856026156512</v>
      </c>
      <c r="E36">
        <f t="shared" si="2"/>
        <v>-0.385203536916506</v>
      </c>
      <c r="F36">
        <f t="shared" si="2"/>
        <v>0.24249468011600012</v>
      </c>
      <c r="G36">
        <f t="shared" si="2"/>
        <v>0.79018083898655544</v>
      </c>
      <c r="H36">
        <f t="shared" si="2"/>
        <v>1.0651141228146652</v>
      </c>
      <c r="I36">
        <f t="shared" si="2"/>
        <v>0.96867229690964862</v>
      </c>
      <c r="J36">
        <f t="shared" si="2"/>
        <v>0.53169892782596628</v>
      </c>
      <c r="K36">
        <f t="shared" si="2"/>
        <v>-9.5274961391514104E-2</v>
      </c>
      <c r="L36">
        <f t="shared" si="2"/>
        <v>-0.69386754713898202</v>
      </c>
      <c r="M36">
        <f t="shared" si="2"/>
        <v>-1.0538975431361299</v>
      </c>
    </row>
  </sheetData>
  <mergeCells count="1">
    <mergeCell ref="A3:G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D10" sqref="D10"/>
    </sheetView>
  </sheetViews>
  <sheetFormatPr defaultRowHeight="15" x14ac:dyDescent="0.25"/>
  <sheetData>
    <row r="1" spans="1:7" x14ac:dyDescent="0.25">
      <c r="A1" t="s">
        <v>0</v>
      </c>
      <c r="D1" t="s">
        <v>1</v>
      </c>
      <c r="F1" t="s">
        <v>2</v>
      </c>
      <c r="G1" t="s">
        <v>11</v>
      </c>
    </row>
    <row r="3" spans="1:7" x14ac:dyDescent="0.25">
      <c r="A3" s="7" t="s">
        <v>12</v>
      </c>
      <c r="B3" s="17"/>
      <c r="C3" s="17"/>
      <c r="D3" s="17"/>
      <c r="E3" s="17"/>
      <c r="F3" s="17"/>
      <c r="G3" s="18"/>
    </row>
    <row r="4" spans="1:7" x14ac:dyDescent="0.25">
      <c r="A4" s="19"/>
      <c r="B4" s="20"/>
      <c r="C4" s="20"/>
      <c r="D4" s="20"/>
      <c r="E4" s="20"/>
      <c r="F4" s="20"/>
      <c r="G4" s="21"/>
    </row>
    <row r="5" spans="1:7" x14ac:dyDescent="0.25">
      <c r="A5" s="19"/>
      <c r="B5" s="20"/>
      <c r="C5" s="20"/>
      <c r="D5" s="20"/>
      <c r="E5" s="20"/>
      <c r="F5" s="20"/>
      <c r="G5" s="21"/>
    </row>
    <row r="6" spans="1:7" x14ac:dyDescent="0.25">
      <c r="A6" s="19"/>
      <c r="B6" s="20"/>
      <c r="C6" s="20"/>
      <c r="D6" s="20"/>
      <c r="E6" s="20"/>
      <c r="F6" s="20"/>
      <c r="G6" s="21"/>
    </row>
    <row r="7" spans="1:7" x14ac:dyDescent="0.25">
      <c r="A7" s="19"/>
      <c r="B7" s="20"/>
      <c r="C7" s="20"/>
      <c r="D7" s="20"/>
      <c r="E7" s="20"/>
      <c r="F7" s="20"/>
      <c r="G7" s="21"/>
    </row>
    <row r="8" spans="1:7" x14ac:dyDescent="0.25">
      <c r="A8" s="22"/>
      <c r="B8" s="23"/>
      <c r="C8" s="23"/>
      <c r="D8" s="23"/>
      <c r="E8" s="23"/>
      <c r="F8" s="23"/>
      <c r="G8" s="24"/>
    </row>
    <row r="10" spans="1:7" x14ac:dyDescent="0.25">
      <c r="A10" s="1" t="s">
        <v>13</v>
      </c>
      <c r="B10" s="2">
        <v>2</v>
      </c>
    </row>
    <row r="11" spans="1:7" x14ac:dyDescent="0.25">
      <c r="A11" s="3" t="s">
        <v>14</v>
      </c>
      <c r="B11" s="4">
        <v>0.5</v>
      </c>
    </row>
    <row r="13" spans="1:7" x14ac:dyDescent="0.25">
      <c r="A13" s="25" t="s">
        <v>6</v>
      </c>
      <c r="B13" s="26"/>
    </row>
    <row r="14" spans="1:7" x14ac:dyDescent="0.25">
      <c r="A14" s="5"/>
      <c r="B14" s="6"/>
    </row>
    <row r="15" spans="1:7" x14ac:dyDescent="0.25">
      <c r="A15" s="5" t="s">
        <v>8</v>
      </c>
      <c r="B15" s="6"/>
    </row>
    <row r="16" spans="1:7" x14ac:dyDescent="0.25">
      <c r="A16" s="5">
        <v>0</v>
      </c>
      <c r="B16" s="6">
        <f t="shared" ref="B16:B26" si="0">fun_3(A1\,k1\,$A16)</f>
        <v>2.5680508333754828</v>
      </c>
    </row>
    <row r="17" spans="1:2" x14ac:dyDescent="0.25">
      <c r="A17" s="5">
        <v>0.1</v>
      </c>
      <c r="B17" s="6">
        <f t="shared" si="0"/>
        <v>2.5552212758543109</v>
      </c>
    </row>
    <row r="18" spans="1:2" x14ac:dyDescent="0.25">
      <c r="A18" s="5">
        <v>0.2</v>
      </c>
      <c r="B18" s="6">
        <f t="shared" si="0"/>
        <v>2.5168607919886581</v>
      </c>
    </row>
    <row r="19" spans="1:2" x14ac:dyDescent="0.25">
      <c r="A19" s="5">
        <v>0.3</v>
      </c>
      <c r="B19" s="6">
        <f t="shared" si="0"/>
        <v>2.4533526670530201</v>
      </c>
    </row>
    <row r="20" spans="1:2" x14ac:dyDescent="0.25">
      <c r="A20" s="5">
        <v>0.4</v>
      </c>
      <c r="B20" s="6">
        <f t="shared" si="0"/>
        <v>2.3653314532387597</v>
      </c>
    </row>
    <row r="21" spans="1:2" x14ac:dyDescent="0.25">
      <c r="A21" s="5">
        <v>0.5</v>
      </c>
      <c r="B21" s="6">
        <f t="shared" si="0"/>
        <v>2.2536766294183628</v>
      </c>
    </row>
    <row r="22" spans="1:2" x14ac:dyDescent="0.25">
      <c r="A22" s="5">
        <v>0.6</v>
      </c>
      <c r="B22" s="6">
        <f t="shared" si="0"/>
        <v>2.119503813683266</v>
      </c>
    </row>
    <row r="23" spans="1:2" x14ac:dyDescent="0.25">
      <c r="A23" s="5">
        <v>0.7</v>
      </c>
      <c r="B23" s="6">
        <f t="shared" si="0"/>
        <v>1.9641536164566578</v>
      </c>
    </row>
    <row r="24" spans="1:2" x14ac:dyDescent="0.25">
      <c r="A24" s="5">
        <v>0.8</v>
      </c>
      <c r="B24" s="6">
        <f t="shared" si="0"/>
        <v>1.7891782455572784</v>
      </c>
    </row>
    <row r="25" spans="1:2" x14ac:dyDescent="0.25">
      <c r="A25" s="5">
        <v>0.9</v>
      </c>
      <c r="B25" s="6">
        <f t="shared" si="0"/>
        <v>1.5963259970519872</v>
      </c>
    </row>
    <row r="26" spans="1:2" x14ac:dyDescent="0.25">
      <c r="A26" s="3">
        <v>1</v>
      </c>
      <c r="B26" s="4">
        <f t="shared" si="0"/>
        <v>1.3875237868593713</v>
      </c>
    </row>
  </sheetData>
  <mergeCells count="2">
    <mergeCell ref="A3:G8"/>
    <mergeCell ref="A13:B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5"/>
  <sheetViews>
    <sheetView workbookViewId="0">
      <selection activeCell="G23" sqref="G23"/>
    </sheetView>
  </sheetViews>
  <sheetFormatPr defaultRowHeight="15" x14ac:dyDescent="0.25"/>
  <sheetData>
    <row r="1" spans="1:7" x14ac:dyDescent="0.25">
      <c r="A1" t="s">
        <v>0</v>
      </c>
      <c r="D1" t="s">
        <v>1</v>
      </c>
      <c r="F1" t="s">
        <v>18</v>
      </c>
      <c r="G1" t="s">
        <v>17</v>
      </c>
    </row>
    <row r="4" spans="1:7" x14ac:dyDescent="0.25">
      <c r="A4" t="s">
        <v>19</v>
      </c>
    </row>
    <row r="5" spans="1:7" x14ac:dyDescent="0.25">
      <c r="A5" t="s">
        <v>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Hello_Wk4_IC4">
                <anchor moveWithCells="1" sizeWithCells="1">
                  <from>
                    <xdr:col>3</xdr:col>
                    <xdr:colOff>219075</xdr:colOff>
                    <xdr:row>6</xdr:row>
                    <xdr:rowOff>114300</xdr:rowOff>
                  </from>
                  <to>
                    <xdr:col>6</xdr:col>
                    <xdr:colOff>400050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7"/>
  <sheetViews>
    <sheetView workbookViewId="0">
      <selection activeCell="C5" sqref="C5:C7"/>
    </sheetView>
  </sheetViews>
  <sheetFormatPr defaultRowHeight="15" x14ac:dyDescent="0.25"/>
  <sheetData>
    <row r="1" spans="1:7" x14ac:dyDescent="0.25">
      <c r="A1" t="s">
        <v>0</v>
      </c>
      <c r="D1" t="s">
        <v>1</v>
      </c>
      <c r="F1" t="s">
        <v>18</v>
      </c>
      <c r="G1" t="s">
        <v>20</v>
      </c>
    </row>
    <row r="4" spans="1:7" x14ac:dyDescent="0.25">
      <c r="C4" t="s">
        <v>21</v>
      </c>
    </row>
    <row r="5" spans="1:7" x14ac:dyDescent="0.25">
      <c r="A5" t="s">
        <v>13</v>
      </c>
      <c r="B5">
        <v>5</v>
      </c>
      <c r="C5" s="27">
        <v>15</v>
      </c>
    </row>
    <row r="6" spans="1:7" x14ac:dyDescent="0.25">
      <c r="A6" t="s">
        <v>10</v>
      </c>
      <c r="B6">
        <v>5</v>
      </c>
      <c r="C6" s="27"/>
    </row>
    <row r="7" spans="1:7" x14ac:dyDescent="0.25">
      <c r="A7" t="s">
        <v>22</v>
      </c>
      <c r="B7">
        <v>5</v>
      </c>
      <c r="C7" s="27"/>
    </row>
  </sheetData>
  <mergeCells count="1">
    <mergeCell ref="C5: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Wk4_IC5">
                <anchor moveWithCells="1" sizeWithCells="1">
                  <from>
                    <xdr:col>4</xdr:col>
                    <xdr:colOff>95250</xdr:colOff>
                    <xdr:row>3</xdr:row>
                    <xdr:rowOff>66675</xdr:rowOff>
                  </from>
                  <to>
                    <xdr:col>7</xdr:col>
                    <xdr:colOff>314325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2"/>
  <sheetViews>
    <sheetView tabSelected="1" workbookViewId="0">
      <selection activeCell="A14" sqref="A14"/>
    </sheetView>
  </sheetViews>
  <sheetFormatPr defaultRowHeight="15" x14ac:dyDescent="0.25"/>
  <sheetData>
    <row r="1" spans="1:7" x14ac:dyDescent="0.25">
      <c r="A1" t="s">
        <v>0</v>
      </c>
      <c r="D1" t="s">
        <v>1</v>
      </c>
      <c r="F1" t="s">
        <v>18</v>
      </c>
      <c r="G1" t="s">
        <v>23</v>
      </c>
    </row>
    <row r="3" spans="1:7" x14ac:dyDescent="0.25">
      <c r="A3" t="s">
        <v>24</v>
      </c>
    </row>
    <row r="8" spans="1:7" x14ac:dyDescent="0.25">
      <c r="A8" t="s">
        <v>25</v>
      </c>
      <c r="B8">
        <v>5</v>
      </c>
      <c r="C8" t="s">
        <v>29</v>
      </c>
    </row>
    <row r="9" spans="1:7" x14ac:dyDescent="0.25">
      <c r="A9" t="s">
        <v>26</v>
      </c>
      <c r="B9">
        <v>10</v>
      </c>
      <c r="C9" t="s">
        <v>29</v>
      </c>
    </row>
    <row r="11" spans="1:7" x14ac:dyDescent="0.25">
      <c r="A11" t="s">
        <v>27</v>
      </c>
      <c r="B11">
        <v>654.49846874999992</v>
      </c>
      <c r="C11" t="s">
        <v>31</v>
      </c>
    </row>
    <row r="12" spans="1:7" x14ac:dyDescent="0.25">
      <c r="A12" t="s">
        <v>28</v>
      </c>
      <c r="B12">
        <v>436.87772789062501</v>
      </c>
      <c r="C12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Wk4_IC6">
                <anchor moveWithCells="1" sizeWithCells="1">
                  <from>
                    <xdr:col>3</xdr:col>
                    <xdr:colOff>38100</xdr:colOff>
                    <xdr:row>7</xdr:row>
                    <xdr:rowOff>114300</xdr:rowOff>
                  </from>
                  <to>
                    <xdr:col>5</xdr:col>
                    <xdr:colOff>552450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A1\</vt:lpstr>
      <vt:lpstr>B</vt:lpstr>
      <vt:lpstr>k1\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CLAIR CUNNINGHAM (RIT Student)</dc:creator>
  <cp:lastModifiedBy>CLAIR CUNNINGHAM (RIT Student)</cp:lastModifiedBy>
  <dcterms:created xsi:type="dcterms:W3CDTF">2012-04-03T16:08:22Z</dcterms:created>
  <dcterms:modified xsi:type="dcterms:W3CDTF">2012-04-09T16:41:59Z</dcterms:modified>
</cp:coreProperties>
</file>