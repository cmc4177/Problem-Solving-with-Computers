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65" windowWidth="18195" windowHeight="10995" firstSheet="3" activeTab="9"/>
  </bookViews>
  <sheets>
    <sheet name="Sheet1" sheetId="1" r:id="rId1"/>
    <sheet name="Sheet2" sheetId="2" r:id="rId2"/>
    <sheet name="Sheet3" sheetId="3" r:id="rId3"/>
    <sheet name="Sheet4" sheetId="4" r:id="rId4"/>
    <sheet name="Sheet5" sheetId="5" r:id="rId5"/>
    <sheet name="Sheet6" sheetId="6" r:id="rId6"/>
    <sheet name="Sheet7" sheetId="7" r:id="rId7"/>
    <sheet name="Sheet8" sheetId="8" r:id="rId8"/>
    <sheet name="Sheet9" sheetId="9" r:id="rId9"/>
    <sheet name="Sheet10" sheetId="10" r:id="rId10"/>
  </sheets>
  <functionGroups builtInGroupCount="17"/>
  <calcPr calcId="145621"/>
</workbook>
</file>

<file path=xl/calcChain.xml><?xml version="1.0" encoding="utf-8"?>
<calcChain xmlns="http://schemas.openxmlformats.org/spreadsheetml/2006/main">
  <c r="G15" i="9" l="1"/>
  <c r="F15" i="9"/>
  <c r="B12" i="6" l="1"/>
  <c r="B11" i="6"/>
  <c r="C28" i="3"/>
  <c r="C27" i="3"/>
  <c r="C26" i="3"/>
  <c r="C25" i="3"/>
  <c r="C24" i="3"/>
  <c r="C23" i="3"/>
  <c r="C22" i="3"/>
  <c r="C21" i="3"/>
  <c r="C20" i="3"/>
  <c r="C19" i="3"/>
  <c r="C18" i="3"/>
  <c r="C17" i="3"/>
  <c r="C16" i="3"/>
  <c r="C15" i="3"/>
  <c r="C14" i="3"/>
  <c r="C13" i="3"/>
  <c r="C12" i="3"/>
  <c r="C11" i="3"/>
  <c r="C10" i="3"/>
  <c r="C9" i="3"/>
  <c r="D15" i="3"/>
  <c r="D19" i="3"/>
  <c r="D16" i="3"/>
  <c r="D24" i="3"/>
  <c r="D26" i="3"/>
  <c r="D14" i="3"/>
  <c r="D10" i="3"/>
  <c r="D20" i="3"/>
  <c r="D25" i="3"/>
  <c r="D18" i="3"/>
  <c r="D22" i="3"/>
  <c r="D9" i="3"/>
  <c r="D23" i="3"/>
  <c r="D21" i="3"/>
  <c r="D12" i="3"/>
  <c r="D17" i="3"/>
  <c r="D28" i="3"/>
  <c r="D13" i="3"/>
  <c r="D27" i="3"/>
  <c r="D11" i="3"/>
</calcChain>
</file>

<file path=xl/sharedStrings.xml><?xml version="1.0" encoding="utf-8"?>
<sst xmlns="http://schemas.openxmlformats.org/spreadsheetml/2006/main" count="85" uniqueCount="51">
  <si>
    <t>Introduction to Loops :
Write a VBA Program to print 20 odd numbers starting from 11 in column E and 20 even numbers from 12 starting in column F within the same program. Also make a summation of the numbers and display them at the end.</t>
  </si>
  <si>
    <t>Odd</t>
  </si>
  <si>
    <t>Even</t>
  </si>
  <si>
    <t>Sum</t>
  </si>
  <si>
    <t>Write a VBA function to find the Factorial of a number.
(  Factorial of a number is defined as :      n!  =  1*2*3*4*………….*(n-1)*n      )
Write a Sub Procedure to take input of a number from the user and display the factorial</t>
  </si>
  <si>
    <t>n</t>
  </si>
  <si>
    <t>Excel</t>
  </si>
  <si>
    <t>VBA</t>
  </si>
  <si>
    <t xml:space="preserve">Introduction to Loops :
(a) Write a program to print numbers from 1 to 10 starting in column B starting at B9.
(b) Modify the program to print numbers from 0 to 1 with increments of 0.1 in column D
</t>
  </si>
  <si>
    <t>PSWC-01</t>
  </si>
  <si>
    <t>Week 6 In-Class</t>
  </si>
  <si>
    <t>Exercise #2</t>
  </si>
  <si>
    <t>Exercise #1</t>
  </si>
  <si>
    <t>Exercise #3</t>
  </si>
  <si>
    <t xml:space="preserve">Write a VBA Sub procedure that uses a conditional loop to count the number of data points in Column B and write the answer to cell D8.
</t>
  </si>
  <si>
    <t>Sum, y</t>
  </si>
  <si>
    <t>Write a Sub program to evaluate ln(2) from the infinite series 
expression to be accurate to 5 decimal places, using a Do Loop.
The resultant sum (the value of ln 2) should be written to cell B10.</t>
  </si>
  <si>
    <t>Value of ln 2</t>
  </si>
  <si>
    <t>% Difference</t>
  </si>
  <si>
    <t>Exercise #4</t>
  </si>
  <si>
    <t>Exercise #5</t>
  </si>
  <si>
    <t>Write a Sub program to evaluate the summation given to the right.
Take input from cell A10, below, and write the output to cell B10.</t>
  </si>
  <si>
    <t>Exercise #6</t>
  </si>
  <si>
    <t>Clair Cunningham</t>
  </si>
  <si>
    <t># of terms</t>
  </si>
  <si>
    <t>Data Points</t>
  </si>
  <si>
    <t># of Data Points</t>
  </si>
  <si>
    <t>Exercise #7</t>
  </si>
  <si>
    <t>Write a VBA Sub procedure which reads in both parts of the recorded data into arrays. Convert the units of the data as shown in the column headers and write the converted arrays to the spreadhseet in the space given.</t>
  </si>
  <si>
    <t>Recorded Data</t>
  </si>
  <si>
    <t>Converted Data</t>
  </si>
  <si>
    <t>Time (hr)</t>
  </si>
  <si>
    <t>Temp (°C)</t>
  </si>
  <si>
    <t>Time (s)</t>
  </si>
  <si>
    <t>Temp (°F)</t>
  </si>
  <si>
    <t>Exercise #8</t>
  </si>
  <si>
    <t>Create an array of 20 random numbers in VBA, write them to the worksheet, and write the minimum and maximum values in the space indicated.</t>
  </si>
  <si>
    <t>Random #s</t>
  </si>
  <si>
    <t>Max:</t>
  </si>
  <si>
    <t>Min:</t>
  </si>
  <si>
    <t>Exercise #9</t>
  </si>
  <si>
    <t xml:space="preserve">
Write a VBA Sub procedure that reads the data set given into an array and caluclates the average and standard deviation of the values.</t>
  </si>
  <si>
    <t>Data</t>
  </si>
  <si>
    <t>Average</t>
  </si>
  <si>
    <t>Std. Dev.</t>
  </si>
  <si>
    <t>Exercise #10</t>
  </si>
  <si>
    <t>Write a VBA Sub procedure that reads in the matrix given and outputs the number of rows and columns and the maximum and minimum values.</t>
  </si>
  <si>
    <t># Rows:</t>
  </si>
  <si>
    <t># Cols:</t>
  </si>
  <si>
    <t>Max Value:</t>
  </si>
  <si>
    <t>Min 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</si>
</sst>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0"/>
    <numFmt numFmtId="165" formatCode="0.00000%"/>
    <numFmt numFmtId="166" formatCode="0.0"/>
  </numFmts>
  <fonts count="5" x14ac:knownFonts="1">
    <font>
      <sz val="11"/>
      <color theme="1"/>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2"/>
      <color theme="1"/>
      <name val="Calibri"/>
      <family val="2"/>
      <scheme val="minor"/>
    </font>
  </fonts>
  <fills count="4">
    <fill>
      <patternFill patternType="none"/>
    </fill>
    <fill>
      <patternFill patternType="gray125"/>
    </fill>
    <fill>
      <patternFill patternType="solid">
        <fgColor theme="5" tint="0.59999389629810485"/>
        <bgColor indexed="64"/>
      </patternFill>
    </fill>
    <fill>
      <patternFill patternType="solid">
        <fgColor theme="6" tint="0.59999389629810485"/>
        <bgColor indexed="64"/>
      </patternFill>
    </fill>
  </fills>
  <borders count="23">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auto="1"/>
      </left>
      <right/>
      <top/>
      <bottom/>
      <diagonal/>
    </border>
    <border>
      <left/>
      <right style="medium">
        <color auto="1"/>
      </right>
      <top/>
      <bottom/>
      <diagonal/>
    </border>
  </borders>
  <cellStyleXfs count="2">
    <xf numFmtId="0" fontId="0" fillId="0" borderId="0"/>
    <xf numFmtId="9" fontId="3" fillId="0" borderId="0" applyFont="0" applyFill="0" applyBorder="0" applyAlignment="0" applyProtection="0"/>
  </cellStyleXfs>
  <cellXfs count="75">
    <xf numFmtId="0" fontId="0" fillId="0" borderId="0" xfId="0"/>
    <xf numFmtId="0" fontId="0" fillId="0" borderId="0" xfId="0" applyAlignment="1">
      <alignment vertical="top"/>
    </xf>
    <xf numFmtId="0" fontId="0" fillId="0" borderId="0" xfId="0" applyFill="1" applyBorder="1"/>
    <xf numFmtId="0" fontId="0" fillId="0" borderId="1" xfId="0" applyBorder="1"/>
    <xf numFmtId="0" fontId="0" fillId="2" borderId="1" xfId="0" applyFill="1" applyBorder="1"/>
    <xf numFmtId="0" fontId="0" fillId="2" borderId="1" xfId="0" applyFill="1" applyBorder="1" applyAlignment="1">
      <alignment horizontal="right"/>
    </xf>
    <xf numFmtId="0" fontId="1" fillId="2" borderId="1" xfId="0" applyFont="1" applyFill="1" applyBorder="1" applyAlignment="1">
      <alignment horizontal="center"/>
    </xf>
    <xf numFmtId="0" fontId="1" fillId="2" borderId="1" xfId="0" applyFont="1" applyFill="1" applyBorder="1" applyAlignment="1">
      <alignment horizontal="right"/>
    </xf>
    <xf numFmtId="0" fontId="0" fillId="0" borderId="0" xfId="0" applyAlignment="1">
      <alignment horizontal="right"/>
    </xf>
    <xf numFmtId="0" fontId="0" fillId="0" borderId="0" xfId="0" applyAlignment="1">
      <alignment horizontal="left"/>
    </xf>
    <xf numFmtId="0" fontId="0" fillId="2" borderId="5" xfId="0" applyFill="1" applyBorder="1" applyAlignment="1">
      <alignment horizontal="right"/>
    </xf>
    <xf numFmtId="164" fontId="0" fillId="0" borderId="0" xfId="0" applyNumberFormat="1" applyBorder="1"/>
    <xf numFmtId="0" fontId="0" fillId="0" borderId="6" xfId="0" applyBorder="1"/>
    <xf numFmtId="0" fontId="0" fillId="2" borderId="7" xfId="0" applyFill="1" applyBorder="1" applyAlignment="1">
      <alignment horizontal="right"/>
    </xf>
    <xf numFmtId="0" fontId="0" fillId="0" borderId="9" xfId="0" applyBorder="1"/>
    <xf numFmtId="0" fontId="0" fillId="2" borderId="4" xfId="0" applyFill="1" applyBorder="1"/>
    <xf numFmtId="0" fontId="0" fillId="2" borderId="2" xfId="0" applyFill="1" applyBorder="1" applyAlignment="1">
      <alignment horizontal="right"/>
    </xf>
    <xf numFmtId="0" fontId="0" fillId="2" borderId="4" xfId="0" applyFill="1" applyBorder="1" applyAlignment="1">
      <alignment horizontal="right"/>
    </xf>
    <xf numFmtId="0" fontId="0" fillId="0" borderId="7" xfId="0" applyBorder="1"/>
    <xf numFmtId="0" fontId="0" fillId="0" borderId="10" xfId="0" applyBorder="1"/>
    <xf numFmtId="0" fontId="0" fillId="0" borderId="11" xfId="0" applyBorder="1"/>
    <xf numFmtId="0" fontId="0" fillId="0" borderId="12" xfId="0" applyBorder="1"/>
    <xf numFmtId="165" fontId="0" fillId="0" borderId="8" xfId="1" applyNumberFormat="1" applyFont="1" applyBorder="1"/>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166" fontId="0" fillId="0" borderId="18" xfId="0" applyNumberFormat="1" applyBorder="1" applyAlignment="1">
      <alignment horizontal="center"/>
    </xf>
    <xf numFmtId="0" fontId="0" fillId="0" borderId="19" xfId="0" applyBorder="1" applyAlignment="1">
      <alignment horizontal="center"/>
    </xf>
    <xf numFmtId="166" fontId="0" fillId="0" borderId="20" xfId="0" applyNumberFormat="1" applyBorder="1" applyAlignment="1">
      <alignment horizontal="center"/>
    </xf>
    <xf numFmtId="166" fontId="0" fillId="0" borderId="16" xfId="0" applyNumberFormat="1" applyBorder="1" applyAlignment="1">
      <alignment horizontal="center"/>
    </xf>
    <xf numFmtId="0" fontId="0" fillId="0" borderId="0" xfId="0" applyAlignment="1">
      <alignment horizontal="center"/>
    </xf>
    <xf numFmtId="0" fontId="0" fillId="0" borderId="8" xfId="0" applyBorder="1" applyAlignment="1">
      <alignment horizontal="right"/>
    </xf>
    <xf numFmtId="166" fontId="0" fillId="0" borderId="0" xfId="0" applyNumberFormat="1"/>
    <xf numFmtId="0" fontId="0" fillId="0" borderId="21" xfId="0" applyBorder="1" applyAlignment="1">
      <alignment horizontal="center"/>
    </xf>
    <xf numFmtId="0" fontId="0" fillId="0" borderId="0" xfId="0" applyBorder="1" applyAlignment="1">
      <alignment horizontal="center"/>
    </xf>
    <xf numFmtId="0" fontId="0" fillId="0" borderId="22" xfId="0" applyBorder="1" applyAlignment="1">
      <alignment horizontal="center"/>
    </xf>
    <xf numFmtId="0" fontId="0" fillId="0" borderId="0" xfId="0" applyNumberFormat="1"/>
    <xf numFmtId="0" fontId="2" fillId="2" borderId="0" xfId="0" applyFont="1" applyFill="1" applyAlignment="1">
      <alignment vertical="top" wrapText="1"/>
    </xf>
    <xf numFmtId="0" fontId="0" fillId="0" borderId="0" xfId="0" applyAlignment="1">
      <alignment wrapText="1"/>
    </xf>
    <xf numFmtId="0" fontId="2" fillId="2" borderId="2" xfId="0" applyFont="1" applyFill="1" applyBorder="1" applyAlignment="1">
      <alignment vertical="top" wrapText="1"/>
    </xf>
    <xf numFmtId="0" fontId="0" fillId="0" borderId="3" xfId="0" applyBorder="1" applyAlignment="1">
      <alignment wrapText="1"/>
    </xf>
    <xf numFmtId="0" fontId="0" fillId="0" borderId="4" xfId="0" applyBorder="1" applyAlignment="1">
      <alignment wrapText="1"/>
    </xf>
    <xf numFmtId="0" fontId="0" fillId="0" borderId="5" xfId="0" applyBorder="1" applyAlignment="1">
      <alignment wrapText="1"/>
    </xf>
    <xf numFmtId="0" fontId="0" fillId="0" borderId="0" xfId="0" applyBorder="1" applyAlignment="1">
      <alignment wrapText="1"/>
    </xf>
    <xf numFmtId="0" fontId="0" fillId="0" borderId="6" xfId="0" applyBorder="1" applyAlignment="1">
      <alignment wrapText="1"/>
    </xf>
    <xf numFmtId="0" fontId="0" fillId="0" borderId="7" xfId="0" applyBorder="1" applyAlignment="1">
      <alignment wrapText="1"/>
    </xf>
    <xf numFmtId="0" fontId="0" fillId="0" borderId="8" xfId="0" applyBorder="1" applyAlignment="1">
      <alignment wrapText="1"/>
    </xf>
    <xf numFmtId="0" fontId="0" fillId="0" borderId="9" xfId="0" applyBorder="1" applyAlignment="1">
      <alignment wrapText="1"/>
    </xf>
    <xf numFmtId="0" fontId="2" fillId="2" borderId="2" xfId="0" applyFont="1" applyFill="1"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0" fontId="0" fillId="0" borderId="0"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left"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4" fillId="2" borderId="2" xfId="0" applyFont="1" applyFill="1" applyBorder="1" applyAlignment="1">
      <alignment vertical="center" wrapText="1"/>
    </xf>
    <xf numFmtId="0" fontId="0" fillId="0" borderId="3" xfId="0" applyFont="1" applyBorder="1" applyAlignment="1">
      <alignment vertical="center" wrapText="1"/>
    </xf>
    <xf numFmtId="0" fontId="0" fillId="0" borderId="4" xfId="0" applyFont="1" applyBorder="1" applyAlignment="1">
      <alignment vertical="center" wrapText="1"/>
    </xf>
    <xf numFmtId="0" fontId="0" fillId="0" borderId="5" xfId="0" applyFont="1" applyBorder="1" applyAlignment="1">
      <alignment vertical="center" wrapText="1"/>
    </xf>
    <xf numFmtId="0" fontId="0" fillId="0" borderId="0" xfId="0" applyFont="1" applyBorder="1" applyAlignment="1">
      <alignment vertical="center" wrapText="1"/>
    </xf>
    <xf numFmtId="0" fontId="0" fillId="0" borderId="6" xfId="0" applyFont="1" applyBorder="1" applyAlignment="1">
      <alignment vertical="center" wrapText="1"/>
    </xf>
    <xf numFmtId="0" fontId="0" fillId="0" borderId="7" xfId="0" applyFont="1" applyBorder="1" applyAlignment="1">
      <alignment vertical="center" wrapText="1"/>
    </xf>
    <xf numFmtId="0" fontId="0" fillId="0" borderId="8" xfId="0" applyFont="1" applyBorder="1" applyAlignment="1">
      <alignment vertical="center" wrapText="1"/>
    </xf>
    <xf numFmtId="0" fontId="0" fillId="0" borderId="9" xfId="0" applyFont="1" applyBorder="1" applyAlignment="1">
      <alignment vertical="center" wrapText="1"/>
    </xf>
    <xf numFmtId="0" fontId="0" fillId="2" borderId="2" xfId="0" applyFill="1" applyBorder="1" applyAlignment="1">
      <alignment horizontal="center"/>
    </xf>
    <xf numFmtId="0" fontId="0" fillId="2" borderId="3" xfId="0" applyFill="1" applyBorder="1" applyAlignment="1">
      <alignment horizontal="center"/>
    </xf>
    <xf numFmtId="0" fontId="0" fillId="2" borderId="0" xfId="0" applyFill="1" applyAlignment="1">
      <alignment horizontal="center" vertical="center" wrapText="1"/>
    </xf>
    <xf numFmtId="0" fontId="0" fillId="2" borderId="13" xfId="0" applyFill="1" applyBorder="1" applyAlignment="1">
      <alignment horizontal="center"/>
    </xf>
    <xf numFmtId="0" fontId="0" fillId="2" borderId="14" xfId="0" applyFill="1" applyBorder="1" applyAlignment="1">
      <alignment horizontal="center"/>
    </xf>
    <xf numFmtId="0" fontId="0" fillId="3" borderId="13" xfId="0" applyFill="1" applyBorder="1" applyAlignment="1">
      <alignment horizontal="center"/>
    </xf>
    <xf numFmtId="0" fontId="0" fillId="3" borderId="14" xfId="0" applyFill="1" applyBorder="1" applyAlignment="1">
      <alignment horizontal="center"/>
    </xf>
    <xf numFmtId="0" fontId="0" fillId="2" borderId="0" xfId="0" applyFill="1" applyAlignment="1">
      <alignment horizontal="center" vertical="top" wrapText="1"/>
    </xf>
    <xf numFmtId="0" fontId="0" fillId="0" borderId="0" xfId="0"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oneCellAnchor>
    <xdr:from>
      <xdr:col>6</xdr:col>
      <xdr:colOff>571500</xdr:colOff>
      <xdr:row>2</xdr:row>
      <xdr:rowOff>123825</xdr:rowOff>
    </xdr:from>
    <xdr:ext cx="1562100" cy="680507"/>
    <mc:AlternateContent xmlns:mc="http://schemas.openxmlformats.org/markup-compatibility/2006" xmlns:a14="http://schemas.microsoft.com/office/drawing/2010/main">
      <mc:Choice Requires="a14">
        <xdr:sp macro="" textlink="">
          <xdr:nvSpPr>
            <xdr:cNvPr id="2" name="TextBox 1"/>
            <xdr:cNvSpPr txBox="1"/>
          </xdr:nvSpPr>
          <xdr:spPr>
            <a:xfrm>
              <a:off x="4295775" y="504825"/>
              <a:ext cx="1562100" cy="6805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r>
                      <a:rPr lang="en-US" sz="1400" b="0" i="1">
                        <a:latin typeface="Cambria Math"/>
                      </a:rPr>
                      <m:t>𝑦</m:t>
                    </m:r>
                    <m:r>
                      <a:rPr lang="en-US" sz="1400" b="0" i="1">
                        <a:latin typeface="Cambria Math"/>
                      </a:rPr>
                      <m:t>=</m:t>
                    </m:r>
                    <m:nary>
                      <m:naryPr>
                        <m:chr m:val="∑"/>
                        <m:ctrlPr>
                          <a:rPr lang="en-US" sz="1400" b="0" i="1">
                            <a:latin typeface="Cambria Math"/>
                          </a:rPr>
                        </m:ctrlPr>
                      </m:naryPr>
                      <m:sub>
                        <m:r>
                          <m:rPr>
                            <m:brk m:alnAt="23"/>
                          </m:rPr>
                          <a:rPr lang="en-US" sz="1400" b="0" i="1">
                            <a:latin typeface="Cambria Math"/>
                          </a:rPr>
                          <m:t>𝑖</m:t>
                        </m:r>
                        <m:r>
                          <a:rPr lang="en-US" sz="1400" b="0" i="1">
                            <a:latin typeface="Cambria Math"/>
                          </a:rPr>
                          <m:t>=1</m:t>
                        </m:r>
                      </m:sub>
                      <m:sup>
                        <m:r>
                          <a:rPr lang="en-US" sz="1400" b="0" i="1">
                            <a:latin typeface="Cambria Math"/>
                          </a:rPr>
                          <m:t>𝑛</m:t>
                        </m:r>
                      </m:sup>
                      <m:e>
                        <m:r>
                          <a:rPr lang="en-US" sz="1400" b="0" i="1">
                            <a:latin typeface="Cambria Math"/>
                          </a:rPr>
                          <m:t>(2</m:t>
                        </m:r>
                        <m:r>
                          <a:rPr lang="en-US" sz="1400" b="0" i="1">
                            <a:latin typeface="Cambria Math"/>
                          </a:rPr>
                          <m:t>𝑖</m:t>
                        </m:r>
                        <m:r>
                          <a:rPr lang="en-US" sz="1400" b="0" i="1">
                            <a:latin typeface="Cambria Math"/>
                          </a:rPr>
                          <m:t>−1)</m:t>
                        </m:r>
                      </m:e>
                    </m:nary>
                  </m:oMath>
                </m:oMathPara>
              </a14:m>
              <a:endParaRPr lang="en-US" sz="1400"/>
            </a:p>
          </xdr:txBody>
        </xdr:sp>
      </mc:Choice>
      <mc:Fallback xmlns="">
        <xdr:sp macro="" textlink="">
          <xdr:nvSpPr>
            <xdr:cNvPr id="2" name="TextBox 1"/>
            <xdr:cNvSpPr txBox="1"/>
          </xdr:nvSpPr>
          <xdr:spPr>
            <a:xfrm>
              <a:off x="4295775" y="504825"/>
              <a:ext cx="1562100" cy="6805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US" sz="1400" b="0" i="0">
                  <a:latin typeface="Cambria Math"/>
                </a:rPr>
                <a:t>𝑦=∑_(𝑖=1)^𝑛▒〖(2𝑖−1)〗</a:t>
              </a:r>
              <a:endParaRPr lang="en-US" sz="14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xdr:oneCellAnchor>
    <xdr:from>
      <xdr:col>6</xdr:col>
      <xdr:colOff>581025</xdr:colOff>
      <xdr:row>2</xdr:row>
      <xdr:rowOff>152400</xdr:rowOff>
    </xdr:from>
    <xdr:ext cx="1581150" cy="679801"/>
    <mc:AlternateContent xmlns:mc="http://schemas.openxmlformats.org/markup-compatibility/2006" xmlns:a14="http://schemas.microsoft.com/office/drawing/2010/main">
      <mc:Choice Requires="a14">
        <xdr:sp macro="" textlink="">
          <xdr:nvSpPr>
            <xdr:cNvPr id="2" name="TextBox 1"/>
            <xdr:cNvSpPr txBox="1"/>
          </xdr:nvSpPr>
          <xdr:spPr>
            <a:xfrm>
              <a:off x="4524375" y="533400"/>
              <a:ext cx="1581150" cy="6798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func>
                      <m:funcPr>
                        <m:ctrlPr>
                          <a:rPr lang="en-US" sz="1400" b="0" i="1">
                            <a:latin typeface="Cambria Math"/>
                          </a:rPr>
                        </m:ctrlPr>
                      </m:funcPr>
                      <m:fName>
                        <m:r>
                          <m:rPr>
                            <m:sty m:val="p"/>
                          </m:rPr>
                          <a:rPr lang="en-US" sz="1400" b="0" i="0">
                            <a:latin typeface="Cambria Math"/>
                          </a:rPr>
                          <m:t>ln</m:t>
                        </m:r>
                      </m:fName>
                      <m:e>
                        <m:r>
                          <a:rPr lang="en-US" sz="1400" b="0" i="1">
                            <a:latin typeface="Cambria Math"/>
                          </a:rPr>
                          <m:t>2=</m:t>
                        </m:r>
                        <m:nary>
                          <m:naryPr>
                            <m:chr m:val="∑"/>
                            <m:ctrlPr>
                              <a:rPr lang="en-US" sz="1400" b="0" i="1">
                                <a:latin typeface="Cambria Math"/>
                              </a:rPr>
                            </m:ctrlPr>
                          </m:naryPr>
                          <m:sub>
                            <m:r>
                              <m:rPr>
                                <m:brk m:alnAt="23"/>
                              </m:rPr>
                              <a:rPr lang="en-US" sz="1400" b="0" i="1">
                                <a:latin typeface="Cambria Math"/>
                              </a:rPr>
                              <m:t>𝑘</m:t>
                            </m:r>
                            <m:r>
                              <a:rPr lang="en-US" sz="1400" b="0" i="1">
                                <a:latin typeface="Cambria Math"/>
                              </a:rPr>
                              <m:t>=1</m:t>
                            </m:r>
                          </m:sub>
                          <m:sup>
                            <m:r>
                              <a:rPr lang="en-US" sz="1400" b="0" i="1">
                                <a:latin typeface="Cambria Math"/>
                                <a:ea typeface="Cambria Math"/>
                              </a:rPr>
                              <m:t>∞</m:t>
                            </m:r>
                          </m:sup>
                          <m:e>
                            <m:f>
                              <m:fPr>
                                <m:ctrlPr>
                                  <a:rPr lang="en-US" sz="1400" b="0" i="1">
                                    <a:latin typeface="Cambria Math"/>
                                  </a:rPr>
                                </m:ctrlPr>
                              </m:fPr>
                              <m:num>
                                <m:sSup>
                                  <m:sSupPr>
                                    <m:ctrlPr>
                                      <a:rPr lang="en-US" sz="1400" b="0" i="1">
                                        <a:latin typeface="Cambria Math"/>
                                      </a:rPr>
                                    </m:ctrlPr>
                                  </m:sSupPr>
                                  <m:e>
                                    <m:d>
                                      <m:dPr>
                                        <m:ctrlPr>
                                          <a:rPr lang="en-US" sz="1400" b="0" i="1">
                                            <a:latin typeface="Cambria Math"/>
                                          </a:rPr>
                                        </m:ctrlPr>
                                      </m:dPr>
                                      <m:e>
                                        <m:r>
                                          <a:rPr lang="en-US" sz="1400" b="0" i="1">
                                            <a:latin typeface="Cambria Math"/>
                                          </a:rPr>
                                          <m:t>−1</m:t>
                                        </m:r>
                                      </m:e>
                                    </m:d>
                                  </m:e>
                                  <m:sup>
                                    <m:r>
                                      <a:rPr lang="en-US" sz="1400" b="0" i="1">
                                        <a:latin typeface="Cambria Math"/>
                                      </a:rPr>
                                      <m:t>𝑘</m:t>
                                    </m:r>
                                    <m:r>
                                      <a:rPr lang="en-US" sz="1400" b="0" i="1">
                                        <a:latin typeface="Cambria Math"/>
                                      </a:rPr>
                                      <m:t>−1</m:t>
                                    </m:r>
                                  </m:sup>
                                </m:sSup>
                              </m:num>
                              <m:den>
                                <m:r>
                                  <a:rPr lang="en-US" sz="1400" b="0" i="1">
                                    <a:latin typeface="Cambria Math"/>
                                  </a:rPr>
                                  <m:t>𝑘</m:t>
                                </m:r>
                              </m:den>
                            </m:f>
                          </m:e>
                        </m:nary>
                      </m:e>
                    </m:func>
                  </m:oMath>
                </m:oMathPara>
              </a14:m>
              <a:endParaRPr lang="en-US" sz="1400"/>
            </a:p>
          </xdr:txBody>
        </xdr:sp>
      </mc:Choice>
      <mc:Fallback xmlns="">
        <xdr:sp macro="" textlink="">
          <xdr:nvSpPr>
            <xdr:cNvPr id="2" name="TextBox 1"/>
            <xdr:cNvSpPr txBox="1"/>
          </xdr:nvSpPr>
          <xdr:spPr>
            <a:xfrm>
              <a:off x="4524375" y="533400"/>
              <a:ext cx="1581150" cy="6798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US" sz="1400" b="0" i="0">
                  <a:latin typeface="Cambria Math"/>
                </a:rPr>
                <a:t>ln⁡〖2=∑_(𝑘=1)</a:t>
              </a:r>
              <a:r>
                <a:rPr lang="en-US" sz="1400" b="0" i="0">
                  <a:latin typeface="Cambria Math"/>
                  <a:ea typeface="Cambria Math"/>
                </a:rPr>
                <a:t>^∞▒(</a:t>
              </a:r>
              <a:r>
                <a:rPr lang="en-US" sz="1400" b="0" i="0">
                  <a:latin typeface="Cambria Math"/>
                </a:rPr>
                <a:t>−1)^(𝑘−1)/𝑘〗</a:t>
              </a:r>
              <a:endParaRPr lang="en-US" sz="1400"/>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2</xdr:col>
      <xdr:colOff>367446</xdr:colOff>
      <xdr:row>5</xdr:row>
      <xdr:rowOff>64842</xdr:rowOff>
    </xdr:from>
    <xdr:ext cx="2153016" cy="1082861"/>
    <mc:AlternateContent xmlns:mc="http://schemas.openxmlformats.org/markup-compatibility/2006" xmlns:a14="http://schemas.microsoft.com/office/drawing/2010/main">
      <mc:Choice Requires="a14">
        <xdr:sp macro="" textlink="">
          <xdr:nvSpPr>
            <xdr:cNvPr id="2" name="TextBox 1"/>
            <xdr:cNvSpPr txBox="1"/>
          </xdr:nvSpPr>
          <xdr:spPr>
            <a:xfrm>
              <a:off x="1586646" y="1017342"/>
              <a:ext cx="2153016" cy="10828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acc>
                      <m:accPr>
                        <m:chr m:val="̅"/>
                        <m:ctrlPr>
                          <a:rPr lang="en-US" sz="1100" i="1">
                            <a:latin typeface="Cambria Math"/>
                          </a:rPr>
                        </m:ctrlPr>
                      </m:accPr>
                      <m:e>
                        <m:r>
                          <a:rPr lang="en-US" sz="1100" b="0" i="1">
                            <a:latin typeface="Cambria Math"/>
                          </a:rPr>
                          <m:t>𝑦</m:t>
                        </m:r>
                      </m:e>
                    </m:acc>
                    <m:r>
                      <a:rPr lang="en-US" sz="1100" b="0" i="1">
                        <a:latin typeface="Cambria Math"/>
                      </a:rPr>
                      <m:t>=</m:t>
                    </m:r>
                    <m:f>
                      <m:fPr>
                        <m:ctrlPr>
                          <a:rPr lang="en-US" sz="1100" b="0" i="1">
                            <a:latin typeface="Cambria Math"/>
                          </a:rPr>
                        </m:ctrlPr>
                      </m:fPr>
                      <m:num>
                        <m:nary>
                          <m:naryPr>
                            <m:chr m:val="∑"/>
                            <m:ctrlPr>
                              <a:rPr lang="en-US" sz="1100" b="0" i="1">
                                <a:latin typeface="Cambria Math"/>
                              </a:rPr>
                            </m:ctrlPr>
                          </m:naryPr>
                          <m:sub>
                            <m:r>
                              <m:rPr>
                                <m:brk m:alnAt="23"/>
                              </m:rPr>
                              <a:rPr lang="en-US" sz="1100" b="0" i="1">
                                <a:latin typeface="Cambria Math"/>
                              </a:rPr>
                              <m:t>𝑖</m:t>
                            </m:r>
                            <m:r>
                              <a:rPr lang="en-US" sz="1100" b="0" i="1">
                                <a:latin typeface="Cambria Math"/>
                              </a:rPr>
                              <m:t>=1</m:t>
                            </m:r>
                          </m:sub>
                          <m:sup>
                            <m:r>
                              <a:rPr lang="en-US" sz="1100" b="0" i="1">
                                <a:latin typeface="Cambria Math"/>
                              </a:rPr>
                              <m:t>𝑛</m:t>
                            </m:r>
                          </m:sup>
                          <m:e>
                            <m:sSub>
                              <m:sSubPr>
                                <m:ctrlPr>
                                  <a:rPr lang="en-US" sz="1100" b="0" i="1">
                                    <a:latin typeface="Cambria Math"/>
                                  </a:rPr>
                                </m:ctrlPr>
                              </m:sSubPr>
                              <m:e>
                                <m:r>
                                  <a:rPr lang="en-US" sz="1100" b="0" i="1">
                                    <a:latin typeface="Cambria Math"/>
                                  </a:rPr>
                                  <m:t>𝑦</m:t>
                                </m:r>
                              </m:e>
                              <m:sub>
                                <m:r>
                                  <a:rPr lang="en-US" sz="1100" b="0" i="1">
                                    <a:latin typeface="Cambria Math"/>
                                  </a:rPr>
                                  <m:t>𝑖</m:t>
                                </m:r>
                              </m:sub>
                            </m:sSub>
                          </m:e>
                        </m:nary>
                      </m:num>
                      <m:den>
                        <m:r>
                          <a:rPr lang="en-US" sz="1100" b="0" i="1">
                            <a:latin typeface="Cambria Math"/>
                          </a:rPr>
                          <m:t>𝑛</m:t>
                        </m:r>
                      </m:den>
                    </m:f>
                  </m:oMath>
                  <m:oMath xmlns:m="http://schemas.openxmlformats.org/officeDocument/2006/math">
                    <m:sSub>
                      <m:sSubPr>
                        <m:ctrlPr>
                          <a:rPr lang="en-US" sz="1100" i="1">
                            <a:latin typeface="Cambria Math"/>
                          </a:rPr>
                        </m:ctrlPr>
                      </m:sSubPr>
                      <m:e>
                        <m:r>
                          <a:rPr lang="en-US" sz="1100" b="0" i="1">
                            <a:latin typeface="Cambria Math"/>
                          </a:rPr>
                          <m:t>𝑠</m:t>
                        </m:r>
                      </m:e>
                      <m:sub>
                        <m:r>
                          <a:rPr lang="en-US" sz="1100" b="0" i="1">
                            <a:latin typeface="Cambria Math"/>
                          </a:rPr>
                          <m:t>𝑦</m:t>
                        </m:r>
                      </m:sub>
                    </m:sSub>
                    <m:r>
                      <a:rPr lang="en-US" sz="1100" b="0" i="1">
                        <a:latin typeface="Cambria Math"/>
                      </a:rPr>
                      <m:t>=</m:t>
                    </m:r>
                    <m:rad>
                      <m:radPr>
                        <m:degHide m:val="on"/>
                        <m:ctrlPr>
                          <a:rPr lang="en-US" sz="1100" b="0" i="1">
                            <a:latin typeface="Cambria Math"/>
                          </a:rPr>
                        </m:ctrlPr>
                      </m:radPr>
                      <m:deg/>
                      <m:e>
                        <m:f>
                          <m:fPr>
                            <m:ctrlPr>
                              <a:rPr lang="en-US" sz="1100" b="0" i="1">
                                <a:latin typeface="Cambria Math"/>
                              </a:rPr>
                            </m:ctrlPr>
                          </m:fPr>
                          <m:num>
                            <m:nary>
                              <m:naryPr>
                                <m:chr m:val="∑"/>
                                <m:ctrlPr>
                                  <a:rPr lang="en-US" sz="1100" b="0" i="1">
                                    <a:latin typeface="Cambria Math"/>
                                  </a:rPr>
                                </m:ctrlPr>
                              </m:naryPr>
                              <m:sub>
                                <m:r>
                                  <m:rPr>
                                    <m:brk m:alnAt="23"/>
                                  </m:rPr>
                                  <a:rPr lang="en-US" sz="1100" b="0" i="1">
                                    <a:latin typeface="Cambria Math"/>
                                  </a:rPr>
                                  <m:t>𝑖</m:t>
                                </m:r>
                                <m:r>
                                  <a:rPr lang="en-US" sz="1100" b="0" i="1">
                                    <a:latin typeface="Cambria Math"/>
                                  </a:rPr>
                                  <m:t>=1</m:t>
                                </m:r>
                              </m:sub>
                              <m:sup>
                                <m:r>
                                  <a:rPr lang="en-US" sz="1100" b="0" i="1">
                                    <a:latin typeface="Cambria Math"/>
                                  </a:rPr>
                                  <m:t>𝑛</m:t>
                                </m:r>
                              </m:sup>
                              <m:e>
                                <m:sSubSup>
                                  <m:sSubSupPr>
                                    <m:ctrlPr>
                                      <a:rPr lang="en-US" sz="1100" b="0" i="1">
                                        <a:latin typeface="Cambria Math"/>
                                      </a:rPr>
                                    </m:ctrlPr>
                                  </m:sSubSupPr>
                                  <m:e>
                                    <m:sSub>
                                      <m:sSubPr>
                                        <m:ctrlPr>
                                          <a:rPr lang="en-US" sz="1100" b="0" i="1">
                                            <a:latin typeface="Cambria Math"/>
                                          </a:rPr>
                                        </m:ctrlPr>
                                      </m:sSubPr>
                                      <m:e>
                                        <m:r>
                                          <a:rPr lang="en-US" sz="1100" b="0" i="1">
                                            <a:latin typeface="Cambria Math"/>
                                          </a:rPr>
                                          <m:t>𝑦</m:t>
                                        </m:r>
                                      </m:e>
                                      <m:sub>
                                        <m:r>
                                          <a:rPr lang="en-US" sz="1100" b="0" i="1">
                                            <a:latin typeface="Cambria Math"/>
                                          </a:rPr>
                                          <m:t>𝑖</m:t>
                                        </m:r>
                                      </m:sub>
                                    </m:sSub>
                                  </m:e>
                                  <m:sub/>
                                  <m:sup>
                                    <m:r>
                                      <a:rPr lang="en-US" sz="1100" b="0" i="1">
                                        <a:latin typeface="Cambria Math"/>
                                      </a:rPr>
                                      <m:t>2</m:t>
                                    </m:r>
                                  </m:sup>
                                </m:sSubSup>
                              </m:e>
                            </m:nary>
                            <m:r>
                              <a:rPr lang="en-US" sz="1100" b="0" i="1">
                                <a:latin typeface="Cambria Math"/>
                              </a:rPr>
                              <m:t>−</m:t>
                            </m:r>
                            <m:f>
                              <m:fPr>
                                <m:ctrlPr>
                                  <a:rPr lang="en-US" sz="1100" b="0" i="1">
                                    <a:latin typeface="Cambria Math"/>
                                  </a:rPr>
                                </m:ctrlPr>
                              </m:fPr>
                              <m:num>
                                <m:sSup>
                                  <m:sSupPr>
                                    <m:ctrlPr>
                                      <a:rPr lang="en-US" sz="1100" b="0" i="1">
                                        <a:latin typeface="Cambria Math"/>
                                      </a:rPr>
                                    </m:ctrlPr>
                                  </m:sSupPr>
                                  <m:e>
                                    <m:d>
                                      <m:dPr>
                                        <m:ctrlPr>
                                          <a:rPr lang="en-US" sz="1100" b="0" i="1">
                                            <a:solidFill>
                                              <a:schemeClr val="tx1"/>
                                            </a:solidFill>
                                            <a:effectLst/>
                                            <a:latin typeface="Cambria Math"/>
                                            <a:ea typeface="+mn-ea"/>
                                            <a:cs typeface="+mn-cs"/>
                                          </a:rPr>
                                        </m:ctrlPr>
                                      </m:dPr>
                                      <m:e>
                                        <m:nary>
                                          <m:naryPr>
                                            <m:chr m:val="∑"/>
                                            <m:ctrlPr>
                                              <a:rPr lang="en-US" sz="1100" b="0" i="1">
                                                <a:solidFill>
                                                  <a:schemeClr val="tx1"/>
                                                </a:solidFill>
                                                <a:effectLst/>
                                                <a:latin typeface="Cambria Math"/>
                                                <a:ea typeface="+mn-ea"/>
                                                <a:cs typeface="+mn-cs"/>
                                              </a:rPr>
                                            </m:ctrlPr>
                                          </m:naryPr>
                                          <m:sub>
                                            <m:r>
                                              <m:rPr>
                                                <m:brk m:alnAt="23"/>
                                              </m:rPr>
                                              <a:rPr lang="en-US" sz="1100" b="0" i="1">
                                                <a:solidFill>
                                                  <a:schemeClr val="tx1"/>
                                                </a:solidFill>
                                                <a:effectLst/>
                                                <a:latin typeface="Cambria Math"/>
                                                <a:ea typeface="+mn-ea"/>
                                                <a:cs typeface="+mn-cs"/>
                                              </a:rPr>
                                              <m:t>𝑖</m:t>
                                            </m:r>
                                            <m:r>
                                              <a:rPr lang="en-US" sz="1100" b="0" i="1">
                                                <a:solidFill>
                                                  <a:schemeClr val="tx1"/>
                                                </a:solidFill>
                                                <a:effectLst/>
                                                <a:latin typeface="Cambria Math"/>
                                                <a:ea typeface="+mn-ea"/>
                                                <a:cs typeface="+mn-cs"/>
                                              </a:rPr>
                                              <m:t>=1</m:t>
                                            </m:r>
                                          </m:sub>
                                          <m:sup>
                                            <m:r>
                                              <a:rPr lang="en-US" sz="1100" b="0" i="1">
                                                <a:solidFill>
                                                  <a:schemeClr val="tx1"/>
                                                </a:solidFill>
                                                <a:effectLst/>
                                                <a:latin typeface="Cambria Math"/>
                                                <a:ea typeface="+mn-ea"/>
                                                <a:cs typeface="+mn-cs"/>
                                              </a:rPr>
                                              <m:t>𝑛</m:t>
                                            </m:r>
                                          </m:sup>
                                          <m:e>
                                            <m:sSub>
                                              <m:sSubPr>
                                                <m:ctrlPr>
                                                  <a:rPr lang="en-US" sz="1100" b="0" i="1">
                                                    <a:solidFill>
                                                      <a:schemeClr val="tx1"/>
                                                    </a:solidFill>
                                                    <a:effectLst/>
                                                    <a:latin typeface="Cambria Math"/>
                                                    <a:ea typeface="+mn-ea"/>
                                                    <a:cs typeface="+mn-cs"/>
                                                  </a:rPr>
                                                </m:ctrlPr>
                                              </m:sSubPr>
                                              <m:e>
                                                <m:r>
                                                  <a:rPr lang="en-US" sz="1100" b="0" i="1">
                                                    <a:solidFill>
                                                      <a:schemeClr val="tx1"/>
                                                    </a:solidFill>
                                                    <a:effectLst/>
                                                    <a:latin typeface="Cambria Math"/>
                                                    <a:ea typeface="+mn-ea"/>
                                                    <a:cs typeface="+mn-cs"/>
                                                  </a:rPr>
                                                  <m:t>𝑦</m:t>
                                                </m:r>
                                              </m:e>
                                              <m:sub>
                                                <m:r>
                                                  <a:rPr lang="en-US" sz="1100" b="0" i="1">
                                                    <a:solidFill>
                                                      <a:schemeClr val="tx1"/>
                                                    </a:solidFill>
                                                    <a:effectLst/>
                                                    <a:latin typeface="Cambria Math"/>
                                                    <a:ea typeface="+mn-ea"/>
                                                    <a:cs typeface="+mn-cs"/>
                                                  </a:rPr>
                                                  <m:t>𝑖</m:t>
                                                </m:r>
                                              </m:sub>
                                            </m:sSub>
                                          </m:e>
                                        </m:nary>
                                      </m:e>
                                    </m:d>
                                  </m:e>
                                  <m:sup>
                                    <m:r>
                                      <a:rPr lang="en-US" sz="1100" b="0" i="1">
                                        <a:latin typeface="Cambria Math"/>
                                      </a:rPr>
                                      <m:t>2</m:t>
                                    </m:r>
                                  </m:sup>
                                </m:sSup>
                              </m:num>
                              <m:den>
                                <m:r>
                                  <a:rPr lang="en-US" sz="1100" b="0" i="1">
                                    <a:latin typeface="Cambria Math"/>
                                  </a:rPr>
                                  <m:t>𝑛</m:t>
                                </m:r>
                              </m:den>
                            </m:f>
                          </m:num>
                          <m:den>
                            <m:r>
                              <a:rPr lang="en-US" sz="1100" b="0" i="1">
                                <a:latin typeface="Cambria Math"/>
                              </a:rPr>
                              <m:t>𝑛</m:t>
                            </m:r>
                            <m:r>
                              <a:rPr lang="en-US" sz="1100" b="0" i="1">
                                <a:latin typeface="Cambria Math"/>
                              </a:rPr>
                              <m:t>−1</m:t>
                            </m:r>
                          </m:den>
                        </m:f>
                      </m:e>
                    </m:rad>
                  </m:oMath>
                </m:oMathPara>
              </a14:m>
              <a:endParaRPr lang="en-US" sz="1100"/>
            </a:p>
          </xdr:txBody>
        </xdr:sp>
      </mc:Choice>
      <mc:Fallback xmlns="">
        <xdr:sp macro="" textlink="">
          <xdr:nvSpPr>
            <xdr:cNvPr id="2" name="TextBox 1"/>
            <xdr:cNvSpPr txBox="1"/>
          </xdr:nvSpPr>
          <xdr:spPr>
            <a:xfrm>
              <a:off x="1586646" y="1017342"/>
              <a:ext cx="2153016" cy="10828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US" sz="1100" b="0" i="0">
                  <a:latin typeface="Cambria Math"/>
                </a:rPr>
                <a:t>𝑦 ̅=(∑_(𝑖=1)^𝑛▒𝑦_𝑖 )/𝑛</a:t>
              </a:r>
              <a:r>
                <a:rPr lang="en-US" sz="1100" b="0" i="1">
                  <a:latin typeface="Cambria Math"/>
                </a:rPr>
                <a:t/>
              </a:r>
              <a:br>
                <a:rPr lang="en-US" sz="1100" b="0" i="1">
                  <a:latin typeface="Cambria Math"/>
                </a:rPr>
              </a:br>
              <a:r>
                <a:rPr lang="en-US" sz="1100" b="0" i="0">
                  <a:latin typeface="Cambria Math"/>
                </a:rPr>
                <a:t>𝑠_𝑦=√((∑_(𝑖=1)^𝑛▒〖𝑦_𝑖〗_^2 −</a:t>
              </a:r>
              <a:r>
                <a:rPr lang="en-US" sz="1100" b="0" i="0">
                  <a:solidFill>
                    <a:schemeClr val="tx1"/>
                  </a:solidFill>
                  <a:effectLst/>
                  <a:latin typeface="Cambria Math"/>
                  <a:ea typeface="+mn-ea"/>
                  <a:cs typeface="+mn-cs"/>
                </a:rPr>
                <a:t>(∑_(𝑖=1)^𝑛▒𝑦_𝑖 )^</a:t>
              </a:r>
              <a:r>
                <a:rPr lang="en-US" sz="1100" b="0" i="0">
                  <a:latin typeface="Cambria Math"/>
                </a:rPr>
                <a:t>2/𝑛)/(𝑛−1))</a:t>
              </a:r>
              <a:endParaRPr lang="en-US" sz="1100"/>
            </a:p>
          </xdr:txBody>
        </xdr:sp>
      </mc:Fallback>
    </mc:AlternateContent>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19"/>
  <sheetViews>
    <sheetView workbookViewId="0">
      <selection activeCell="B8" sqref="B8"/>
    </sheetView>
  </sheetViews>
  <sheetFormatPr defaultRowHeight="15" x14ac:dyDescent="0.25"/>
  <sheetData>
    <row r="1" spans="1:10" x14ac:dyDescent="0.25">
      <c r="A1" t="s">
        <v>23</v>
      </c>
      <c r="D1" t="s">
        <v>9</v>
      </c>
      <c r="G1" s="8" t="s">
        <v>10</v>
      </c>
      <c r="H1" t="s">
        <v>12</v>
      </c>
    </row>
    <row r="3" spans="1:10" ht="15" customHeight="1" x14ac:dyDescent="0.25">
      <c r="A3" s="37" t="s">
        <v>8</v>
      </c>
      <c r="B3" s="38"/>
      <c r="C3" s="38"/>
      <c r="D3" s="38"/>
      <c r="E3" s="38"/>
      <c r="F3" s="38"/>
      <c r="G3" s="38"/>
      <c r="H3" s="38"/>
      <c r="I3" s="38"/>
      <c r="J3" s="38"/>
    </row>
    <row r="4" spans="1:10" ht="15" customHeight="1" x14ac:dyDescent="0.25">
      <c r="A4" s="38"/>
      <c r="B4" s="38"/>
      <c r="C4" s="38"/>
      <c r="D4" s="38"/>
      <c r="E4" s="38"/>
      <c r="F4" s="38"/>
      <c r="G4" s="38"/>
      <c r="H4" s="38"/>
      <c r="I4" s="38"/>
      <c r="J4" s="38"/>
    </row>
    <row r="5" spans="1:10" ht="15" customHeight="1" x14ac:dyDescent="0.25">
      <c r="A5" s="38"/>
      <c r="B5" s="38"/>
      <c r="C5" s="38"/>
      <c r="D5" s="38"/>
      <c r="E5" s="38"/>
      <c r="F5" s="38"/>
      <c r="G5" s="38"/>
      <c r="H5" s="38"/>
      <c r="I5" s="38"/>
      <c r="J5" s="38"/>
    </row>
    <row r="6" spans="1:10" x14ac:dyDescent="0.25">
      <c r="A6" s="38"/>
      <c r="B6" s="38"/>
      <c r="C6" s="38"/>
      <c r="D6" s="38"/>
      <c r="E6" s="38"/>
      <c r="F6" s="38"/>
      <c r="G6" s="38"/>
      <c r="H6" s="38"/>
      <c r="I6" s="38"/>
      <c r="J6" s="38"/>
    </row>
    <row r="7" spans="1:10" x14ac:dyDescent="0.25">
      <c r="B7" s="1"/>
      <c r="C7" s="1"/>
      <c r="D7" s="1"/>
      <c r="E7" s="1"/>
      <c r="F7" s="1"/>
      <c r="G7" s="1"/>
      <c r="H7" s="1"/>
      <c r="I7" s="1"/>
      <c r="J7" s="1"/>
    </row>
    <row r="8" spans="1:10" x14ac:dyDescent="0.25">
      <c r="B8" s="1"/>
      <c r="C8" s="1"/>
      <c r="D8" s="1"/>
      <c r="E8" s="1"/>
      <c r="F8" s="1"/>
      <c r="G8" s="1"/>
      <c r="H8" s="1"/>
      <c r="I8" s="1"/>
      <c r="J8" s="1"/>
    </row>
    <row r="9" spans="1:10" x14ac:dyDescent="0.25">
      <c r="B9">
        <v>1</v>
      </c>
      <c r="D9">
        <v>0</v>
      </c>
    </row>
    <row r="10" spans="1:10" x14ac:dyDescent="0.25">
      <c r="B10">
        <v>2</v>
      </c>
      <c r="D10">
        <v>0.1</v>
      </c>
    </row>
    <row r="11" spans="1:10" x14ac:dyDescent="0.25">
      <c r="B11">
        <v>3</v>
      </c>
      <c r="D11">
        <v>0.2</v>
      </c>
    </row>
    <row r="12" spans="1:10" x14ac:dyDescent="0.25">
      <c r="B12">
        <v>4</v>
      </c>
      <c r="D12">
        <v>0.30000000000000004</v>
      </c>
    </row>
    <row r="13" spans="1:10" x14ac:dyDescent="0.25">
      <c r="B13">
        <v>5</v>
      </c>
      <c r="D13">
        <v>0.4</v>
      </c>
    </row>
    <row r="14" spans="1:10" x14ac:dyDescent="0.25">
      <c r="B14">
        <v>6</v>
      </c>
      <c r="D14">
        <v>0.5</v>
      </c>
    </row>
    <row r="15" spans="1:10" x14ac:dyDescent="0.25">
      <c r="B15">
        <v>7</v>
      </c>
      <c r="D15">
        <v>0.6</v>
      </c>
    </row>
    <row r="16" spans="1:10" x14ac:dyDescent="0.25">
      <c r="B16">
        <v>8</v>
      </c>
      <c r="D16">
        <v>0.7</v>
      </c>
    </row>
    <row r="17" spans="2:4" x14ac:dyDescent="0.25">
      <c r="B17">
        <v>9</v>
      </c>
      <c r="D17">
        <v>0.79999999999999993</v>
      </c>
    </row>
    <row r="18" spans="2:4" x14ac:dyDescent="0.25">
      <c r="B18">
        <v>10</v>
      </c>
      <c r="D18">
        <v>0.89999999999999991</v>
      </c>
    </row>
    <row r="19" spans="2:4" x14ac:dyDescent="0.25">
      <c r="D19">
        <v>0.99999999999999989</v>
      </c>
    </row>
  </sheetData>
  <mergeCells count="1">
    <mergeCell ref="A3:J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1"/>
  <sheetViews>
    <sheetView workbookViewId="0">
      <selection activeCell="C11" sqref="C11"/>
    </sheetView>
  </sheetViews>
  <sheetFormatPr defaultRowHeight="15" x14ac:dyDescent="0.25"/>
  <sheetData>
    <row r="1" spans="1:10" x14ac:dyDescent="0.25">
      <c r="A1" t="s">
        <v>23</v>
      </c>
      <c r="D1" t="s">
        <v>9</v>
      </c>
      <c r="G1" s="8" t="s">
        <v>10</v>
      </c>
      <c r="H1" t="s">
        <v>11</v>
      </c>
    </row>
    <row r="3" spans="1:10" x14ac:dyDescent="0.25">
      <c r="A3" s="39" t="s">
        <v>0</v>
      </c>
      <c r="B3" s="40"/>
      <c r="C3" s="40"/>
      <c r="D3" s="40"/>
      <c r="E3" s="40"/>
      <c r="F3" s="40"/>
      <c r="G3" s="40"/>
      <c r="H3" s="40"/>
      <c r="I3" s="40"/>
      <c r="J3" s="41"/>
    </row>
    <row r="4" spans="1:10" x14ac:dyDescent="0.25">
      <c r="A4" s="42"/>
      <c r="B4" s="43"/>
      <c r="C4" s="43"/>
      <c r="D4" s="43"/>
      <c r="E4" s="43"/>
      <c r="F4" s="43"/>
      <c r="G4" s="43"/>
      <c r="H4" s="43"/>
      <c r="I4" s="43"/>
      <c r="J4" s="44"/>
    </row>
    <row r="5" spans="1:10" x14ac:dyDescent="0.25">
      <c r="A5" s="42"/>
      <c r="B5" s="43"/>
      <c r="C5" s="43"/>
      <c r="D5" s="43"/>
      <c r="E5" s="43"/>
      <c r="F5" s="43"/>
      <c r="G5" s="43"/>
      <c r="H5" s="43"/>
      <c r="I5" s="43"/>
      <c r="J5" s="44"/>
    </row>
    <row r="6" spans="1:10" x14ac:dyDescent="0.25">
      <c r="A6" s="42"/>
      <c r="B6" s="43"/>
      <c r="C6" s="43"/>
      <c r="D6" s="43"/>
      <c r="E6" s="43"/>
      <c r="F6" s="43"/>
      <c r="G6" s="43"/>
      <c r="H6" s="43"/>
      <c r="I6" s="43"/>
      <c r="J6" s="44"/>
    </row>
    <row r="7" spans="1:10" x14ac:dyDescent="0.25">
      <c r="A7" s="42"/>
      <c r="B7" s="43"/>
      <c r="C7" s="43"/>
      <c r="D7" s="43"/>
      <c r="E7" s="43"/>
      <c r="F7" s="43"/>
      <c r="G7" s="43"/>
      <c r="H7" s="43"/>
      <c r="I7" s="43"/>
      <c r="J7" s="44"/>
    </row>
    <row r="8" spans="1:10" x14ac:dyDescent="0.25">
      <c r="A8" s="45"/>
      <c r="B8" s="46"/>
      <c r="C8" s="46"/>
      <c r="D8" s="46"/>
      <c r="E8" s="46"/>
      <c r="F8" s="46"/>
      <c r="G8" s="46"/>
      <c r="H8" s="46"/>
      <c r="I8" s="46"/>
      <c r="J8" s="47"/>
    </row>
    <row r="10" spans="1:10" x14ac:dyDescent="0.25">
      <c r="C10" s="6" t="s">
        <v>1</v>
      </c>
      <c r="D10" s="6" t="s">
        <v>2</v>
      </c>
      <c r="G10" s="2"/>
    </row>
    <row r="11" spans="1:10" x14ac:dyDescent="0.25">
      <c r="C11" s="3">
        <v>11</v>
      </c>
      <c r="D11" s="3">
        <v>12</v>
      </c>
    </row>
    <row r="12" spans="1:10" x14ac:dyDescent="0.25">
      <c r="C12" s="3">
        <v>13</v>
      </c>
      <c r="D12" s="3">
        <v>14</v>
      </c>
    </row>
    <row r="13" spans="1:10" x14ac:dyDescent="0.25">
      <c r="C13" s="3">
        <v>15</v>
      </c>
      <c r="D13" s="3">
        <v>16</v>
      </c>
    </row>
    <row r="14" spans="1:10" x14ac:dyDescent="0.25">
      <c r="C14" s="3">
        <v>17</v>
      </c>
      <c r="D14" s="3">
        <v>18</v>
      </c>
    </row>
    <row r="15" spans="1:10" x14ac:dyDescent="0.25">
      <c r="C15" s="3">
        <v>19</v>
      </c>
      <c r="D15" s="3">
        <v>20</v>
      </c>
    </row>
    <row r="16" spans="1:10" x14ac:dyDescent="0.25">
      <c r="C16" s="3">
        <v>21</v>
      </c>
      <c r="D16" s="3">
        <v>22</v>
      </c>
    </row>
    <row r="17" spans="2:4" x14ac:dyDescent="0.25">
      <c r="C17" s="3">
        <v>23</v>
      </c>
      <c r="D17" s="3">
        <v>24</v>
      </c>
    </row>
    <row r="18" spans="2:4" x14ac:dyDescent="0.25">
      <c r="C18" s="3">
        <v>25</v>
      </c>
      <c r="D18" s="3">
        <v>26</v>
      </c>
    </row>
    <row r="19" spans="2:4" x14ac:dyDescent="0.25">
      <c r="C19" s="3">
        <v>27</v>
      </c>
      <c r="D19" s="3">
        <v>28</v>
      </c>
    </row>
    <row r="20" spans="2:4" x14ac:dyDescent="0.25">
      <c r="C20" s="3">
        <v>29</v>
      </c>
      <c r="D20" s="3">
        <v>30</v>
      </c>
    </row>
    <row r="21" spans="2:4" x14ac:dyDescent="0.25">
      <c r="C21" s="3">
        <v>31</v>
      </c>
      <c r="D21" s="3">
        <v>32</v>
      </c>
    </row>
    <row r="22" spans="2:4" x14ac:dyDescent="0.25">
      <c r="C22" s="3">
        <v>33</v>
      </c>
      <c r="D22" s="3">
        <v>34</v>
      </c>
    </row>
    <row r="23" spans="2:4" x14ac:dyDescent="0.25">
      <c r="C23" s="3">
        <v>35</v>
      </c>
      <c r="D23" s="3">
        <v>36</v>
      </c>
    </row>
    <row r="24" spans="2:4" x14ac:dyDescent="0.25">
      <c r="C24" s="3">
        <v>37</v>
      </c>
      <c r="D24" s="3">
        <v>38</v>
      </c>
    </row>
    <row r="25" spans="2:4" x14ac:dyDescent="0.25">
      <c r="C25" s="3">
        <v>39</v>
      </c>
      <c r="D25" s="3">
        <v>40</v>
      </c>
    </row>
    <row r="26" spans="2:4" x14ac:dyDescent="0.25">
      <c r="C26" s="3">
        <v>41</v>
      </c>
      <c r="D26" s="3">
        <v>42</v>
      </c>
    </row>
    <row r="27" spans="2:4" x14ac:dyDescent="0.25">
      <c r="C27" s="3">
        <v>43</v>
      </c>
      <c r="D27" s="3">
        <v>44</v>
      </c>
    </row>
    <row r="28" spans="2:4" x14ac:dyDescent="0.25">
      <c r="C28" s="3">
        <v>45</v>
      </c>
      <c r="D28" s="3">
        <v>46</v>
      </c>
    </row>
    <row r="29" spans="2:4" x14ac:dyDescent="0.25">
      <c r="C29" s="3">
        <v>47</v>
      </c>
      <c r="D29" s="3">
        <v>48</v>
      </c>
    </row>
    <row r="30" spans="2:4" x14ac:dyDescent="0.25">
      <c r="C30" s="3">
        <v>49</v>
      </c>
      <c r="D30" s="3">
        <v>50</v>
      </c>
    </row>
    <row r="31" spans="2:4" x14ac:dyDescent="0.25">
      <c r="B31" s="7" t="s">
        <v>3</v>
      </c>
      <c r="C31" s="4">
        <v>600</v>
      </c>
      <c r="D31" s="4">
        <v>620</v>
      </c>
    </row>
  </sheetData>
  <mergeCells count="1">
    <mergeCell ref="A3:J8"/>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8"/>
  <sheetViews>
    <sheetView workbookViewId="0">
      <selection activeCell="A2" sqref="A2"/>
    </sheetView>
  </sheetViews>
  <sheetFormatPr defaultRowHeight="15" x14ac:dyDescent="0.25"/>
  <cols>
    <col min="2" max="2" width="12" bestFit="1" customWidth="1"/>
    <col min="3" max="3" width="12" customWidth="1"/>
  </cols>
  <sheetData>
    <row r="1" spans="1:10" x14ac:dyDescent="0.25">
      <c r="A1" t="s">
        <v>23</v>
      </c>
      <c r="D1" t="s">
        <v>9</v>
      </c>
      <c r="G1" s="8" t="s">
        <v>10</v>
      </c>
      <c r="H1" t="s">
        <v>13</v>
      </c>
    </row>
    <row r="3" spans="1:10" x14ac:dyDescent="0.25">
      <c r="A3" s="39" t="s">
        <v>4</v>
      </c>
      <c r="B3" s="40"/>
      <c r="C3" s="40"/>
      <c r="D3" s="40"/>
      <c r="E3" s="40"/>
      <c r="F3" s="40"/>
      <c r="G3" s="40"/>
      <c r="H3" s="40"/>
      <c r="I3" s="40"/>
      <c r="J3" s="41"/>
    </row>
    <row r="4" spans="1:10" x14ac:dyDescent="0.25">
      <c r="A4" s="42"/>
      <c r="B4" s="43"/>
      <c r="C4" s="43"/>
      <c r="D4" s="43"/>
      <c r="E4" s="43"/>
      <c r="F4" s="43"/>
      <c r="G4" s="43"/>
      <c r="H4" s="43"/>
      <c r="I4" s="43"/>
      <c r="J4" s="44"/>
    </row>
    <row r="5" spans="1:10" x14ac:dyDescent="0.25">
      <c r="A5" s="42"/>
      <c r="B5" s="43"/>
      <c r="C5" s="43"/>
      <c r="D5" s="43"/>
      <c r="E5" s="43"/>
      <c r="F5" s="43"/>
      <c r="G5" s="43"/>
      <c r="H5" s="43"/>
      <c r="I5" s="43"/>
      <c r="J5" s="44"/>
    </row>
    <row r="6" spans="1:10" x14ac:dyDescent="0.25">
      <c r="A6" s="45"/>
      <c r="B6" s="46"/>
      <c r="C6" s="46"/>
      <c r="D6" s="46"/>
      <c r="E6" s="46"/>
      <c r="F6" s="46"/>
      <c r="G6" s="46"/>
      <c r="H6" s="46"/>
      <c r="I6" s="46"/>
      <c r="J6" s="47"/>
    </row>
    <row r="8" spans="1:10" x14ac:dyDescent="0.25">
      <c r="B8" s="5" t="s">
        <v>5</v>
      </c>
      <c r="C8" s="5" t="s">
        <v>6</v>
      </c>
      <c r="D8" s="5" t="s">
        <v>7</v>
      </c>
    </row>
    <row r="9" spans="1:10" x14ac:dyDescent="0.25">
      <c r="B9" s="3">
        <v>1</v>
      </c>
      <c r="C9" s="3">
        <f>FACT($B9)</f>
        <v>1</v>
      </c>
      <c r="D9" s="3">
        <f>facto($B9)</f>
        <v>1</v>
      </c>
    </row>
    <row r="10" spans="1:10" x14ac:dyDescent="0.25">
      <c r="B10" s="3">
        <v>2</v>
      </c>
      <c r="C10" s="3">
        <f t="shared" ref="C10:C28" si="0">FACT($B10)</f>
        <v>2</v>
      </c>
      <c r="D10" s="3">
        <f t="shared" ref="D10:D28" si="1">facto($B10)</f>
        <v>2</v>
      </c>
    </row>
    <row r="11" spans="1:10" x14ac:dyDescent="0.25">
      <c r="B11" s="3">
        <v>3</v>
      </c>
      <c r="C11" s="3">
        <f t="shared" si="0"/>
        <v>6</v>
      </c>
      <c r="D11" s="3">
        <f t="shared" si="1"/>
        <v>6</v>
      </c>
    </row>
    <row r="12" spans="1:10" x14ac:dyDescent="0.25">
      <c r="B12" s="3">
        <v>4</v>
      </c>
      <c r="C12" s="3">
        <f t="shared" si="0"/>
        <v>24</v>
      </c>
      <c r="D12" s="3">
        <f t="shared" si="1"/>
        <v>24</v>
      </c>
    </row>
    <row r="13" spans="1:10" x14ac:dyDescent="0.25">
      <c r="B13" s="3">
        <v>5</v>
      </c>
      <c r="C13" s="3">
        <f t="shared" si="0"/>
        <v>120</v>
      </c>
      <c r="D13" s="3">
        <f t="shared" si="1"/>
        <v>120</v>
      </c>
    </row>
    <row r="14" spans="1:10" x14ac:dyDescent="0.25">
      <c r="B14" s="3">
        <v>6</v>
      </c>
      <c r="C14" s="3">
        <f t="shared" si="0"/>
        <v>720</v>
      </c>
      <c r="D14" s="3">
        <f t="shared" si="1"/>
        <v>720</v>
      </c>
    </row>
    <row r="15" spans="1:10" x14ac:dyDescent="0.25">
      <c r="B15" s="3">
        <v>7</v>
      </c>
      <c r="C15" s="3">
        <f t="shared" si="0"/>
        <v>5040</v>
      </c>
      <c r="D15" s="3">
        <f t="shared" si="1"/>
        <v>5040</v>
      </c>
    </row>
    <row r="16" spans="1:10" x14ac:dyDescent="0.25">
      <c r="B16" s="3">
        <v>8</v>
      </c>
      <c r="C16" s="3">
        <f t="shared" si="0"/>
        <v>40320</v>
      </c>
      <c r="D16" s="3">
        <f t="shared" si="1"/>
        <v>40320</v>
      </c>
    </row>
    <row r="17" spans="2:4" x14ac:dyDescent="0.25">
      <c r="B17" s="3">
        <v>9</v>
      </c>
      <c r="C17" s="3">
        <f t="shared" si="0"/>
        <v>362880</v>
      </c>
      <c r="D17" s="3">
        <f t="shared" si="1"/>
        <v>362880</v>
      </c>
    </row>
    <row r="18" spans="2:4" x14ac:dyDescent="0.25">
      <c r="B18" s="3">
        <v>10</v>
      </c>
      <c r="C18" s="3">
        <f t="shared" si="0"/>
        <v>3628800</v>
      </c>
      <c r="D18" s="3">
        <f t="shared" si="1"/>
        <v>3628800</v>
      </c>
    </row>
    <row r="19" spans="2:4" x14ac:dyDescent="0.25">
      <c r="B19" s="3">
        <v>11</v>
      </c>
      <c r="C19" s="3">
        <f t="shared" si="0"/>
        <v>39916800</v>
      </c>
      <c r="D19" s="3">
        <f t="shared" si="1"/>
        <v>39916800</v>
      </c>
    </row>
    <row r="20" spans="2:4" x14ac:dyDescent="0.25">
      <c r="B20" s="3">
        <v>12</v>
      </c>
      <c r="C20" s="3">
        <f t="shared" si="0"/>
        <v>479001600</v>
      </c>
      <c r="D20" s="3">
        <f t="shared" si="1"/>
        <v>479001600</v>
      </c>
    </row>
    <row r="21" spans="2:4" x14ac:dyDescent="0.25">
      <c r="B21" s="3">
        <v>13</v>
      </c>
      <c r="C21" s="3">
        <f t="shared" si="0"/>
        <v>6227020800</v>
      </c>
      <c r="D21" s="3">
        <f t="shared" si="1"/>
        <v>6227020800</v>
      </c>
    </row>
    <row r="22" spans="2:4" x14ac:dyDescent="0.25">
      <c r="B22" s="3">
        <v>14</v>
      </c>
      <c r="C22" s="3">
        <f t="shared" si="0"/>
        <v>87178291200</v>
      </c>
      <c r="D22" s="3">
        <f t="shared" si="1"/>
        <v>87178291200</v>
      </c>
    </row>
    <row r="23" spans="2:4" x14ac:dyDescent="0.25">
      <c r="B23" s="3">
        <v>15</v>
      </c>
      <c r="C23" s="3">
        <f t="shared" si="0"/>
        <v>1307674368000</v>
      </c>
      <c r="D23" s="3">
        <f t="shared" si="1"/>
        <v>1307674368000</v>
      </c>
    </row>
    <row r="24" spans="2:4" x14ac:dyDescent="0.25">
      <c r="B24" s="3">
        <v>16</v>
      </c>
      <c r="C24" s="3">
        <f t="shared" si="0"/>
        <v>20922789888000</v>
      </c>
      <c r="D24" s="3">
        <f t="shared" si="1"/>
        <v>20922789888000</v>
      </c>
    </row>
    <row r="25" spans="2:4" x14ac:dyDescent="0.25">
      <c r="B25" s="3">
        <v>17</v>
      </c>
      <c r="C25" s="3">
        <f t="shared" si="0"/>
        <v>355687428096000</v>
      </c>
      <c r="D25" s="3">
        <f t="shared" si="1"/>
        <v>355687428096000</v>
      </c>
    </row>
    <row r="26" spans="2:4" x14ac:dyDescent="0.25">
      <c r="B26" s="3">
        <v>18</v>
      </c>
      <c r="C26" s="3">
        <f t="shared" si="0"/>
        <v>6402373705728000</v>
      </c>
      <c r="D26" s="3">
        <f t="shared" si="1"/>
        <v>6402373705728000</v>
      </c>
    </row>
    <row r="27" spans="2:4" x14ac:dyDescent="0.25">
      <c r="B27" s="3">
        <v>19</v>
      </c>
      <c r="C27" s="3">
        <f t="shared" si="0"/>
        <v>1.21645100408832E+17</v>
      </c>
      <c r="D27" s="3">
        <f t="shared" si="1"/>
        <v>1.21645100408832E+17</v>
      </c>
    </row>
    <row r="28" spans="2:4" x14ac:dyDescent="0.25">
      <c r="B28" s="3">
        <v>20</v>
      </c>
      <c r="C28" s="3">
        <f t="shared" si="0"/>
        <v>2.43290200817664E+18</v>
      </c>
      <c r="D28" s="3">
        <f t="shared" si="1"/>
        <v>2.43290200817664E+18</v>
      </c>
    </row>
  </sheetData>
  <mergeCells count="1">
    <mergeCell ref="A3:J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25"/>
  <sheetViews>
    <sheetView workbookViewId="0"/>
  </sheetViews>
  <sheetFormatPr defaultRowHeight="15" x14ac:dyDescent="0.25"/>
  <sheetData>
    <row r="1" spans="1:10" x14ac:dyDescent="0.25">
      <c r="A1" t="s">
        <v>23</v>
      </c>
      <c r="D1" t="s">
        <v>9</v>
      </c>
      <c r="G1" s="8" t="s">
        <v>10</v>
      </c>
      <c r="H1" t="s">
        <v>19</v>
      </c>
    </row>
    <row r="3" spans="1:10" x14ac:dyDescent="0.25">
      <c r="A3" s="48" t="s">
        <v>14</v>
      </c>
      <c r="B3" s="49"/>
      <c r="C3" s="49"/>
      <c r="D3" s="49"/>
      <c r="E3" s="49"/>
      <c r="F3" s="49"/>
      <c r="G3" s="49"/>
      <c r="H3" s="49"/>
      <c r="I3" s="49"/>
      <c r="J3" s="50"/>
    </row>
    <row r="4" spans="1:10" x14ac:dyDescent="0.25">
      <c r="A4" s="51"/>
      <c r="B4" s="52"/>
      <c r="C4" s="52"/>
      <c r="D4" s="52"/>
      <c r="E4" s="52"/>
      <c r="F4" s="52"/>
      <c r="G4" s="52"/>
      <c r="H4" s="52"/>
      <c r="I4" s="52"/>
      <c r="J4" s="53"/>
    </row>
    <row r="5" spans="1:10" x14ac:dyDescent="0.25">
      <c r="A5" s="51"/>
      <c r="B5" s="52"/>
      <c r="C5" s="52"/>
      <c r="D5" s="52"/>
      <c r="E5" s="52"/>
      <c r="F5" s="52"/>
      <c r="G5" s="52"/>
      <c r="H5" s="52"/>
      <c r="I5" s="52"/>
      <c r="J5" s="53"/>
    </row>
    <row r="6" spans="1:10" x14ac:dyDescent="0.25">
      <c r="A6" s="54"/>
      <c r="B6" s="55"/>
      <c r="C6" s="55"/>
      <c r="D6" s="55"/>
      <c r="E6" s="55"/>
      <c r="F6" s="55"/>
      <c r="G6" s="55"/>
      <c r="H6" s="55"/>
      <c r="I6" s="55"/>
      <c r="J6" s="56"/>
    </row>
    <row r="7" spans="1:10" x14ac:dyDescent="0.25">
      <c r="B7" s="19" t="s">
        <v>25</v>
      </c>
      <c r="D7" s="19" t="s">
        <v>26</v>
      </c>
    </row>
    <row r="8" spans="1:10" x14ac:dyDescent="0.25">
      <c r="B8" s="20">
        <v>8</v>
      </c>
      <c r="D8" s="21">
        <v>18</v>
      </c>
    </row>
    <row r="9" spans="1:10" x14ac:dyDescent="0.25">
      <c r="B9" s="20">
        <v>7</v>
      </c>
    </row>
    <row r="10" spans="1:10" x14ac:dyDescent="0.25">
      <c r="B10" s="20">
        <v>8</v>
      </c>
      <c r="E10" s="9"/>
    </row>
    <row r="11" spans="1:10" x14ac:dyDescent="0.25">
      <c r="B11" s="20">
        <v>5</v>
      </c>
    </row>
    <row r="12" spans="1:10" x14ac:dyDescent="0.25">
      <c r="B12" s="20">
        <v>7</v>
      </c>
    </row>
    <row r="13" spans="1:10" x14ac:dyDescent="0.25">
      <c r="B13" s="20">
        <v>1</v>
      </c>
    </row>
    <row r="14" spans="1:10" x14ac:dyDescent="0.25">
      <c r="B14" s="20">
        <v>2</v>
      </c>
    </row>
    <row r="15" spans="1:10" x14ac:dyDescent="0.25">
      <c r="B15" s="20">
        <v>9</v>
      </c>
    </row>
    <row r="16" spans="1:10" x14ac:dyDescent="0.25">
      <c r="B16" s="20">
        <v>8</v>
      </c>
    </row>
    <row r="17" spans="2:2" x14ac:dyDescent="0.25">
      <c r="B17" s="20">
        <v>4</v>
      </c>
    </row>
    <row r="18" spans="2:2" x14ac:dyDescent="0.25">
      <c r="B18" s="20">
        <v>1</v>
      </c>
    </row>
    <row r="19" spans="2:2" x14ac:dyDescent="0.25">
      <c r="B19" s="20">
        <v>7</v>
      </c>
    </row>
    <row r="20" spans="2:2" x14ac:dyDescent="0.25">
      <c r="B20" s="20">
        <v>1</v>
      </c>
    </row>
    <row r="21" spans="2:2" x14ac:dyDescent="0.25">
      <c r="B21" s="20">
        <v>10</v>
      </c>
    </row>
    <row r="22" spans="2:2" x14ac:dyDescent="0.25">
      <c r="B22" s="20">
        <v>8</v>
      </c>
    </row>
    <row r="23" spans="2:2" x14ac:dyDescent="0.25">
      <c r="B23" s="20">
        <v>8</v>
      </c>
    </row>
    <row r="24" spans="2:2" x14ac:dyDescent="0.25">
      <c r="B24" s="20">
        <v>10</v>
      </c>
    </row>
    <row r="25" spans="2:2" x14ac:dyDescent="0.25">
      <c r="B25" s="21">
        <v>9</v>
      </c>
    </row>
  </sheetData>
  <mergeCells count="1">
    <mergeCell ref="A3:J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10"/>
  <sheetViews>
    <sheetView workbookViewId="0">
      <selection activeCell="A2" sqref="A2"/>
    </sheetView>
  </sheetViews>
  <sheetFormatPr defaultRowHeight="15" x14ac:dyDescent="0.25"/>
  <cols>
    <col min="1" max="1" width="9.140625" customWidth="1"/>
    <col min="2" max="2" width="10.140625" bestFit="1" customWidth="1"/>
  </cols>
  <sheetData>
    <row r="1" spans="1:10" x14ac:dyDescent="0.25">
      <c r="A1" t="s">
        <v>23</v>
      </c>
      <c r="D1" t="s">
        <v>9</v>
      </c>
      <c r="G1" s="8" t="s">
        <v>10</v>
      </c>
      <c r="H1" t="s">
        <v>20</v>
      </c>
    </row>
    <row r="3" spans="1:10" x14ac:dyDescent="0.25">
      <c r="A3" s="57" t="s">
        <v>21</v>
      </c>
      <c r="B3" s="58"/>
      <c r="C3" s="58"/>
      <c r="D3" s="58"/>
      <c r="E3" s="58"/>
      <c r="F3" s="58"/>
      <c r="G3" s="58"/>
      <c r="H3" s="58"/>
      <c r="I3" s="58"/>
      <c r="J3" s="59"/>
    </row>
    <row r="4" spans="1:10" x14ac:dyDescent="0.25">
      <c r="A4" s="60"/>
      <c r="B4" s="61"/>
      <c r="C4" s="61"/>
      <c r="D4" s="61"/>
      <c r="E4" s="61"/>
      <c r="F4" s="61"/>
      <c r="G4" s="61"/>
      <c r="H4" s="61"/>
      <c r="I4" s="61"/>
      <c r="J4" s="62"/>
    </row>
    <row r="5" spans="1:10" x14ac:dyDescent="0.25">
      <c r="A5" s="60"/>
      <c r="B5" s="61"/>
      <c r="C5" s="61"/>
      <c r="D5" s="61"/>
      <c r="E5" s="61"/>
      <c r="F5" s="61"/>
      <c r="G5" s="61"/>
      <c r="H5" s="61"/>
      <c r="I5" s="61"/>
      <c r="J5" s="62"/>
    </row>
    <row r="6" spans="1:10" x14ac:dyDescent="0.25">
      <c r="A6" s="60"/>
      <c r="B6" s="61"/>
      <c r="C6" s="61"/>
      <c r="D6" s="61"/>
      <c r="E6" s="61"/>
      <c r="F6" s="61"/>
      <c r="G6" s="61"/>
      <c r="H6" s="61"/>
      <c r="I6" s="61"/>
      <c r="J6" s="62"/>
    </row>
    <row r="7" spans="1:10" x14ac:dyDescent="0.25">
      <c r="A7" s="63"/>
      <c r="B7" s="64"/>
      <c r="C7" s="64"/>
      <c r="D7" s="64"/>
      <c r="E7" s="64"/>
      <c r="F7" s="64"/>
      <c r="G7" s="64"/>
      <c r="H7" s="64"/>
      <c r="I7" s="64"/>
      <c r="J7" s="65"/>
    </row>
    <row r="9" spans="1:10" x14ac:dyDescent="0.25">
      <c r="A9" s="16" t="s">
        <v>5</v>
      </c>
      <c r="B9" s="17" t="s">
        <v>15</v>
      </c>
    </row>
    <row r="10" spans="1:10" x14ac:dyDescent="0.25">
      <c r="A10" s="18">
        <v>6</v>
      </c>
      <c r="B10" s="14">
        <v>36</v>
      </c>
    </row>
  </sheetData>
  <mergeCells count="1">
    <mergeCell ref="A3:J7"/>
  </mergeCells>
  <pageMargins left="0.7" right="0.7" top="0.75" bottom="0.75" header="0.3" footer="0.3"/>
  <pageSetup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2"/>
  <sheetViews>
    <sheetView workbookViewId="0">
      <selection activeCell="C10" sqref="C10"/>
    </sheetView>
  </sheetViews>
  <sheetFormatPr defaultRowHeight="15" x14ac:dyDescent="0.25"/>
  <cols>
    <col min="1" max="1" width="12.42578125" bestFit="1" customWidth="1"/>
    <col min="2" max="2" width="10.85546875" bestFit="1" customWidth="1"/>
    <col min="3" max="3" width="9.85546875" bestFit="1" customWidth="1"/>
  </cols>
  <sheetData>
    <row r="1" spans="1:10" x14ac:dyDescent="0.25">
      <c r="A1" t="s">
        <v>23</v>
      </c>
      <c r="D1" t="s">
        <v>9</v>
      </c>
      <c r="G1" s="8" t="s">
        <v>10</v>
      </c>
      <c r="H1" t="s">
        <v>22</v>
      </c>
    </row>
    <row r="3" spans="1:10" x14ac:dyDescent="0.25">
      <c r="A3" s="57" t="s">
        <v>16</v>
      </c>
      <c r="B3" s="58"/>
      <c r="C3" s="58"/>
      <c r="D3" s="58"/>
      <c r="E3" s="58"/>
      <c r="F3" s="58"/>
      <c r="G3" s="58"/>
      <c r="H3" s="58"/>
      <c r="I3" s="58"/>
      <c r="J3" s="59"/>
    </row>
    <row r="4" spans="1:10" x14ac:dyDescent="0.25">
      <c r="A4" s="60"/>
      <c r="B4" s="61"/>
      <c r="C4" s="61"/>
      <c r="D4" s="61"/>
      <c r="E4" s="61"/>
      <c r="F4" s="61"/>
      <c r="G4" s="61"/>
      <c r="H4" s="61"/>
      <c r="I4" s="61"/>
      <c r="J4" s="62"/>
    </row>
    <row r="5" spans="1:10" x14ac:dyDescent="0.25">
      <c r="A5" s="60"/>
      <c r="B5" s="61"/>
      <c r="C5" s="61"/>
      <c r="D5" s="61"/>
      <c r="E5" s="61"/>
      <c r="F5" s="61"/>
      <c r="G5" s="61"/>
      <c r="H5" s="61"/>
      <c r="I5" s="61"/>
      <c r="J5" s="62"/>
    </row>
    <row r="6" spans="1:10" x14ac:dyDescent="0.25">
      <c r="A6" s="60"/>
      <c r="B6" s="61"/>
      <c r="C6" s="61"/>
      <c r="D6" s="61"/>
      <c r="E6" s="61"/>
      <c r="F6" s="61"/>
      <c r="G6" s="61"/>
      <c r="H6" s="61"/>
      <c r="I6" s="61"/>
      <c r="J6" s="62"/>
    </row>
    <row r="7" spans="1:10" x14ac:dyDescent="0.25">
      <c r="A7" s="63"/>
      <c r="B7" s="64"/>
      <c r="C7" s="64"/>
      <c r="D7" s="64"/>
      <c r="E7" s="64"/>
      <c r="F7" s="64"/>
      <c r="G7" s="64"/>
      <c r="H7" s="64"/>
      <c r="I7" s="64"/>
      <c r="J7" s="65"/>
    </row>
    <row r="9" spans="1:10" x14ac:dyDescent="0.25">
      <c r="A9" s="66" t="s">
        <v>17</v>
      </c>
      <c r="B9" s="67"/>
      <c r="C9" s="15" t="s">
        <v>24</v>
      </c>
    </row>
    <row r="10" spans="1:10" x14ac:dyDescent="0.25">
      <c r="A10" s="10" t="s">
        <v>7</v>
      </c>
      <c r="B10" s="11">
        <v>0.69314968054123338</v>
      </c>
      <c r="C10" s="12">
        <v>200002</v>
      </c>
    </row>
    <row r="11" spans="1:10" x14ac:dyDescent="0.25">
      <c r="A11" s="10" t="s">
        <v>6</v>
      </c>
      <c r="B11" s="11">
        <f>LN(2)</f>
        <v>0.69314718055994529</v>
      </c>
      <c r="C11" s="12"/>
    </row>
    <row r="12" spans="1:10" x14ac:dyDescent="0.25">
      <c r="A12" s="13" t="s">
        <v>18</v>
      </c>
      <c r="B12" s="22">
        <f>(B10-B11)/B11</f>
        <v>3.606710606650547E-6</v>
      </c>
      <c r="C12" s="14"/>
    </row>
  </sheetData>
  <mergeCells count="2">
    <mergeCell ref="A3:J7"/>
    <mergeCell ref="A9:B9"/>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7"/>
  <sheetViews>
    <sheetView workbookViewId="0">
      <selection activeCell="D10" sqref="D10"/>
    </sheetView>
  </sheetViews>
  <sheetFormatPr defaultRowHeight="15" x14ac:dyDescent="0.25"/>
  <sheetData>
    <row r="1" spans="1:9" x14ac:dyDescent="0.25">
      <c r="A1" t="s">
        <v>23</v>
      </c>
      <c r="D1" t="s">
        <v>9</v>
      </c>
      <c r="G1" s="8" t="s">
        <v>10</v>
      </c>
      <c r="H1" t="s">
        <v>27</v>
      </c>
    </row>
    <row r="3" spans="1:9" x14ac:dyDescent="0.25">
      <c r="A3" s="68" t="s">
        <v>28</v>
      </c>
      <c r="B3" s="68"/>
      <c r="C3" s="68"/>
      <c r="D3" s="68"/>
      <c r="E3" s="68"/>
      <c r="F3" s="68"/>
      <c r="G3" s="68"/>
      <c r="H3" s="68"/>
      <c r="I3" s="68"/>
    </row>
    <row r="4" spans="1:9" x14ac:dyDescent="0.25">
      <c r="A4" s="68"/>
      <c r="B4" s="68"/>
      <c r="C4" s="68"/>
      <c r="D4" s="68"/>
      <c r="E4" s="68"/>
      <c r="F4" s="68"/>
      <c r="G4" s="68"/>
      <c r="H4" s="68"/>
      <c r="I4" s="68"/>
    </row>
    <row r="5" spans="1:9" x14ac:dyDescent="0.25">
      <c r="A5" s="68"/>
      <c r="B5" s="68"/>
      <c r="C5" s="68"/>
      <c r="D5" s="68"/>
      <c r="E5" s="68"/>
      <c r="F5" s="68"/>
      <c r="G5" s="68"/>
      <c r="H5" s="68"/>
      <c r="I5" s="68"/>
    </row>
    <row r="6" spans="1:9" x14ac:dyDescent="0.25">
      <c r="A6" s="68"/>
      <c r="B6" s="68"/>
      <c r="C6" s="68"/>
      <c r="D6" s="68"/>
      <c r="E6" s="68"/>
      <c r="F6" s="68"/>
      <c r="G6" s="68"/>
      <c r="H6" s="68"/>
      <c r="I6" s="68"/>
    </row>
    <row r="7" spans="1:9" ht="15.75" thickBot="1" x14ac:dyDescent="0.3"/>
    <row r="8" spans="1:9" x14ac:dyDescent="0.25">
      <c r="B8" s="69" t="s">
        <v>29</v>
      </c>
      <c r="C8" s="70"/>
      <c r="D8" s="71" t="s">
        <v>30</v>
      </c>
      <c r="E8" s="72"/>
    </row>
    <row r="9" spans="1:9" ht="15.75" thickBot="1" x14ac:dyDescent="0.3">
      <c r="B9" s="23" t="s">
        <v>31</v>
      </c>
      <c r="C9" s="24" t="s">
        <v>32</v>
      </c>
      <c r="D9" s="23" t="s">
        <v>33</v>
      </c>
      <c r="E9" s="24" t="s">
        <v>34</v>
      </c>
    </row>
    <row r="10" spans="1:9" x14ac:dyDescent="0.25">
      <c r="B10" s="25">
        <v>0</v>
      </c>
      <c r="C10" s="26">
        <v>4</v>
      </c>
      <c r="D10" s="25">
        <v>0</v>
      </c>
      <c r="E10" s="26">
        <v>39.200000000000003</v>
      </c>
    </row>
    <row r="11" spans="1:9" x14ac:dyDescent="0.25">
      <c r="B11" s="27">
        <v>1</v>
      </c>
      <c r="C11" s="28">
        <v>4.2</v>
      </c>
      <c r="D11" s="27">
        <v>3600</v>
      </c>
      <c r="E11" s="28">
        <v>39.56</v>
      </c>
    </row>
    <row r="12" spans="1:9" x14ac:dyDescent="0.25">
      <c r="B12" s="27">
        <v>3</v>
      </c>
      <c r="C12" s="28">
        <v>5</v>
      </c>
      <c r="D12" s="27">
        <v>10800</v>
      </c>
      <c r="E12" s="28">
        <v>41</v>
      </c>
    </row>
    <row r="13" spans="1:9" x14ac:dyDescent="0.25">
      <c r="B13" s="27">
        <v>5</v>
      </c>
      <c r="C13" s="28">
        <v>7.5</v>
      </c>
      <c r="D13" s="27">
        <v>18000</v>
      </c>
      <c r="E13" s="28">
        <v>45.5</v>
      </c>
    </row>
    <row r="14" spans="1:9" x14ac:dyDescent="0.25">
      <c r="B14" s="27">
        <v>6</v>
      </c>
      <c r="C14" s="28">
        <v>8</v>
      </c>
      <c r="D14" s="27">
        <v>21600</v>
      </c>
      <c r="E14" s="28">
        <v>46.4</v>
      </c>
    </row>
    <row r="15" spans="1:9" x14ac:dyDescent="0.25">
      <c r="B15" s="27">
        <v>9</v>
      </c>
      <c r="C15" s="28">
        <v>10.3</v>
      </c>
      <c r="D15" s="27">
        <v>32400</v>
      </c>
      <c r="E15" s="28">
        <v>50.54</v>
      </c>
    </row>
    <row r="16" spans="1:9" x14ac:dyDescent="0.25">
      <c r="B16" s="27">
        <v>12</v>
      </c>
      <c r="C16" s="28">
        <v>5</v>
      </c>
      <c r="D16" s="27">
        <v>43200</v>
      </c>
      <c r="E16" s="28">
        <v>41</v>
      </c>
    </row>
    <row r="17" spans="2:5" ht="15.75" thickBot="1" x14ac:dyDescent="0.3">
      <c r="B17" s="23">
        <v>15</v>
      </c>
      <c r="C17" s="29">
        <v>3</v>
      </c>
      <c r="D17" s="23">
        <v>54000</v>
      </c>
      <c r="E17" s="29">
        <v>37.4</v>
      </c>
    </row>
  </sheetData>
  <mergeCells count="3">
    <mergeCell ref="A3:I6"/>
    <mergeCell ref="B8:C8"/>
    <mergeCell ref="D8:E8"/>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26"/>
  <sheetViews>
    <sheetView workbookViewId="0">
      <selection activeCell="C7" sqref="C7"/>
    </sheetView>
  </sheetViews>
  <sheetFormatPr defaultRowHeight="15" x14ac:dyDescent="0.25"/>
  <sheetData>
    <row r="1" spans="1:9" x14ac:dyDescent="0.25">
      <c r="A1" t="s">
        <v>23</v>
      </c>
      <c r="D1" t="s">
        <v>9</v>
      </c>
      <c r="G1" s="8" t="s">
        <v>10</v>
      </c>
      <c r="H1" t="s">
        <v>35</v>
      </c>
    </row>
    <row r="3" spans="1:9" x14ac:dyDescent="0.25">
      <c r="A3" s="68" t="s">
        <v>36</v>
      </c>
      <c r="B3" s="68"/>
      <c r="C3" s="68"/>
      <c r="D3" s="68"/>
      <c r="E3" s="68"/>
      <c r="F3" s="68"/>
      <c r="G3" s="68"/>
      <c r="H3" s="68"/>
      <c r="I3" s="68"/>
    </row>
    <row r="4" spans="1:9" x14ac:dyDescent="0.25">
      <c r="A4" s="68"/>
      <c r="B4" s="68"/>
      <c r="C4" s="68"/>
      <c r="D4" s="68"/>
      <c r="E4" s="68"/>
      <c r="F4" s="68"/>
      <c r="G4" s="68"/>
      <c r="H4" s="68"/>
      <c r="I4" s="68"/>
    </row>
    <row r="5" spans="1:9" x14ac:dyDescent="0.25">
      <c r="A5" s="68"/>
      <c r="B5" s="68"/>
      <c r="C5" s="68"/>
      <c r="D5" s="68"/>
      <c r="E5" s="68"/>
      <c r="F5" s="68"/>
      <c r="G5" s="68"/>
      <c r="H5" s="68"/>
      <c r="I5" s="68"/>
    </row>
    <row r="7" spans="1:9" x14ac:dyDescent="0.25">
      <c r="B7" s="30" t="s">
        <v>37</v>
      </c>
      <c r="C7" s="36">
        <v>6.2380194664001465E-2</v>
      </c>
      <c r="D7" s="8" t="s">
        <v>38</v>
      </c>
      <c r="E7">
        <v>0.88288849592208862</v>
      </c>
    </row>
    <row r="8" spans="1:9" x14ac:dyDescent="0.25">
      <c r="C8">
        <v>4.6116888523101807E-2</v>
      </c>
      <c r="D8" s="8" t="s">
        <v>39</v>
      </c>
      <c r="E8">
        <v>4.6116888523101807E-2</v>
      </c>
    </row>
    <row r="9" spans="1:9" x14ac:dyDescent="0.25">
      <c r="C9">
        <v>0.47936725616455078</v>
      </c>
    </row>
    <row r="10" spans="1:9" x14ac:dyDescent="0.25">
      <c r="C10">
        <v>0.71373480558395386</v>
      </c>
    </row>
    <row r="11" spans="1:9" x14ac:dyDescent="0.25">
      <c r="C11">
        <v>0.34577620029449463</v>
      </c>
    </row>
    <row r="12" spans="1:9" x14ac:dyDescent="0.25">
      <c r="C12">
        <v>0.63171988725662231</v>
      </c>
    </row>
    <row r="13" spans="1:9" x14ac:dyDescent="0.25">
      <c r="C13">
        <v>0.66518521308898926</v>
      </c>
    </row>
    <row r="14" spans="1:9" x14ac:dyDescent="0.25">
      <c r="C14">
        <v>0.57840007543563843</v>
      </c>
    </row>
    <row r="15" spans="1:9" x14ac:dyDescent="0.25">
      <c r="C15">
        <v>0.73542296886444092</v>
      </c>
    </row>
    <row r="16" spans="1:9" x14ac:dyDescent="0.25">
      <c r="C16">
        <v>0.76185184717178345</v>
      </c>
    </row>
    <row r="17" spans="3:3" x14ac:dyDescent="0.25">
      <c r="C17">
        <v>0.62757253646850586</v>
      </c>
    </row>
    <row r="18" spans="3:3" x14ac:dyDescent="0.25">
      <c r="C18">
        <v>0.88288849592208862</v>
      </c>
    </row>
    <row r="19" spans="3:3" x14ac:dyDescent="0.25">
      <c r="C19">
        <v>0.49700653553009033</v>
      </c>
    </row>
    <row r="20" spans="3:3" x14ac:dyDescent="0.25">
      <c r="C20">
        <v>0.70195466279983521</v>
      </c>
    </row>
    <row r="21" spans="3:3" x14ac:dyDescent="0.25">
      <c r="C21">
        <v>0.38270354270935059</v>
      </c>
    </row>
    <row r="22" spans="3:3" x14ac:dyDescent="0.25">
      <c r="C22">
        <v>0.14117711782455444</v>
      </c>
    </row>
    <row r="23" spans="3:3" x14ac:dyDescent="0.25">
      <c r="C23">
        <v>0.40109574794769287</v>
      </c>
    </row>
    <row r="24" spans="3:3" x14ac:dyDescent="0.25">
      <c r="C24">
        <v>0.20282179117202759</v>
      </c>
    </row>
    <row r="25" spans="3:3" x14ac:dyDescent="0.25">
      <c r="C25">
        <v>0.49069786071777344</v>
      </c>
    </row>
    <row r="26" spans="3:3" x14ac:dyDescent="0.25">
      <c r="C26">
        <v>0.23540705442428589</v>
      </c>
    </row>
  </sheetData>
  <mergeCells count="1">
    <mergeCell ref="A3:I5"/>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46"/>
  <sheetViews>
    <sheetView workbookViewId="0">
      <selection activeCell="B15" sqref="B15"/>
    </sheetView>
  </sheetViews>
  <sheetFormatPr defaultRowHeight="15" x14ac:dyDescent="0.25"/>
  <sheetData>
    <row r="1" spans="1:9" x14ac:dyDescent="0.25">
      <c r="A1" t="s">
        <v>23</v>
      </c>
      <c r="D1" t="s">
        <v>9</v>
      </c>
      <c r="G1" s="8" t="s">
        <v>10</v>
      </c>
      <c r="H1" t="s">
        <v>40</v>
      </c>
    </row>
    <row r="3" spans="1:9" x14ac:dyDescent="0.25">
      <c r="A3" s="73" t="s">
        <v>41</v>
      </c>
      <c r="B3" s="73"/>
      <c r="C3" s="73"/>
      <c r="D3" s="73"/>
      <c r="E3" s="73"/>
      <c r="F3" s="73"/>
      <c r="G3" s="73"/>
      <c r="H3" s="73"/>
      <c r="I3" s="73"/>
    </row>
    <row r="4" spans="1:9" x14ac:dyDescent="0.25">
      <c r="A4" s="73"/>
      <c r="B4" s="73"/>
      <c r="C4" s="73"/>
      <c r="D4" s="73"/>
      <c r="E4" s="73"/>
      <c r="F4" s="73"/>
      <c r="G4" s="73"/>
      <c r="H4" s="73"/>
      <c r="I4" s="73"/>
    </row>
    <row r="5" spans="1:9" x14ac:dyDescent="0.25">
      <c r="A5" s="73"/>
      <c r="B5" s="73"/>
      <c r="C5" s="73"/>
      <c r="D5" s="73"/>
      <c r="E5" s="73"/>
      <c r="F5" s="73"/>
      <c r="G5" s="73"/>
      <c r="H5" s="73"/>
      <c r="I5" s="73"/>
    </row>
    <row r="6" spans="1:9" x14ac:dyDescent="0.25">
      <c r="A6" s="73"/>
      <c r="B6" s="73"/>
      <c r="C6" s="73"/>
      <c r="D6" s="73"/>
      <c r="E6" s="73"/>
      <c r="F6" s="73"/>
      <c r="G6" s="73"/>
      <c r="H6" s="73"/>
      <c r="I6" s="73"/>
    </row>
    <row r="7" spans="1:9" x14ac:dyDescent="0.25">
      <c r="A7" s="73"/>
      <c r="B7" s="73"/>
      <c r="C7" s="73"/>
      <c r="D7" s="73"/>
      <c r="E7" s="73"/>
      <c r="F7" s="73"/>
      <c r="G7" s="73"/>
      <c r="H7" s="73"/>
      <c r="I7" s="73"/>
    </row>
    <row r="8" spans="1:9" x14ac:dyDescent="0.25">
      <c r="A8" s="73"/>
      <c r="B8" s="73"/>
      <c r="C8" s="73"/>
      <c r="D8" s="73"/>
      <c r="E8" s="73"/>
      <c r="F8" s="73"/>
      <c r="G8" s="73"/>
      <c r="H8" s="73"/>
      <c r="I8" s="73"/>
    </row>
    <row r="9" spans="1:9" x14ac:dyDescent="0.25">
      <c r="A9" s="73"/>
      <c r="B9" s="73"/>
      <c r="C9" s="73"/>
      <c r="D9" s="73"/>
      <c r="E9" s="73"/>
      <c r="F9" s="73"/>
      <c r="G9" s="73"/>
      <c r="H9" s="73"/>
      <c r="I9" s="73"/>
    </row>
    <row r="10" spans="1:9" x14ac:dyDescent="0.25">
      <c r="A10" s="73"/>
      <c r="B10" s="73"/>
      <c r="C10" s="73"/>
      <c r="D10" s="73"/>
      <c r="E10" s="73"/>
      <c r="F10" s="73"/>
      <c r="G10" s="73"/>
      <c r="H10" s="73"/>
      <c r="I10" s="73"/>
    </row>
    <row r="11" spans="1:9" x14ac:dyDescent="0.25">
      <c r="A11" s="73"/>
      <c r="B11" s="73"/>
      <c r="C11" s="73"/>
      <c r="D11" s="73"/>
      <c r="E11" s="73"/>
      <c r="F11" s="73"/>
      <c r="G11" s="73"/>
      <c r="H11" s="73"/>
      <c r="I11" s="73"/>
    </row>
    <row r="12" spans="1:9" x14ac:dyDescent="0.25">
      <c r="A12" s="73"/>
      <c r="B12" s="73"/>
      <c r="C12" s="73"/>
      <c r="D12" s="73"/>
      <c r="E12" s="73"/>
      <c r="F12" s="73"/>
      <c r="G12" s="73"/>
      <c r="H12" s="73"/>
      <c r="I12" s="73"/>
    </row>
    <row r="13" spans="1:9" x14ac:dyDescent="0.25">
      <c r="D13" s="74" t="s">
        <v>7</v>
      </c>
      <c r="E13" s="74"/>
      <c r="F13" s="74" t="s">
        <v>6</v>
      </c>
      <c r="G13" s="74"/>
    </row>
    <row r="14" spans="1:9" x14ac:dyDescent="0.25">
      <c r="B14" s="31" t="s">
        <v>42</v>
      </c>
      <c r="D14" s="31" t="s">
        <v>43</v>
      </c>
      <c r="E14" s="31" t="s">
        <v>44</v>
      </c>
      <c r="F14" s="31" t="s">
        <v>43</v>
      </c>
      <c r="G14" s="31" t="s">
        <v>44</v>
      </c>
    </row>
    <row r="15" spans="1:9" x14ac:dyDescent="0.25">
      <c r="B15" s="32">
        <v>74.2</v>
      </c>
      <c r="D15">
        <v>54.346874999999997</v>
      </c>
      <c r="E15">
        <v>11.686192138312128</v>
      </c>
      <c r="F15" s="32">
        <f>AVERAGE(B15:B46)</f>
        <v>54.346874999999997</v>
      </c>
      <c r="G15">
        <f>_xlfn.STDEV.S(B15:B46)</f>
        <v>11.686192138312128</v>
      </c>
    </row>
    <row r="16" spans="1:9" x14ac:dyDescent="0.25">
      <c r="B16" s="32">
        <v>66.599999999999994</v>
      </c>
    </row>
    <row r="17" spans="2:2" x14ac:dyDescent="0.25">
      <c r="B17" s="32">
        <v>40.4</v>
      </c>
    </row>
    <row r="18" spans="2:2" x14ac:dyDescent="0.25">
      <c r="B18" s="32">
        <v>57.3</v>
      </c>
    </row>
    <row r="19" spans="2:2" x14ac:dyDescent="0.25">
      <c r="B19" s="32">
        <v>68.8</v>
      </c>
    </row>
    <row r="20" spans="2:2" x14ac:dyDescent="0.25">
      <c r="B20" s="32">
        <v>58.2</v>
      </c>
    </row>
    <row r="21" spans="2:2" x14ac:dyDescent="0.25">
      <c r="B21" s="32">
        <v>40.700000000000003</v>
      </c>
    </row>
    <row r="22" spans="2:2" x14ac:dyDescent="0.25">
      <c r="B22" s="32">
        <v>44.8</v>
      </c>
    </row>
    <row r="23" spans="2:2" x14ac:dyDescent="0.25">
      <c r="B23" s="32">
        <v>46.7</v>
      </c>
    </row>
    <row r="24" spans="2:2" x14ac:dyDescent="0.25">
      <c r="B24" s="32">
        <v>56</v>
      </c>
    </row>
    <row r="25" spans="2:2" x14ac:dyDescent="0.25">
      <c r="B25" s="32">
        <v>65.400000000000006</v>
      </c>
    </row>
    <row r="26" spans="2:2" x14ac:dyDescent="0.25">
      <c r="B26" s="32">
        <v>60.1</v>
      </c>
    </row>
    <row r="27" spans="2:2" x14ac:dyDescent="0.25">
      <c r="B27" s="32">
        <v>47.3</v>
      </c>
    </row>
    <row r="28" spans="2:2" x14ac:dyDescent="0.25">
      <c r="B28" s="32">
        <v>70.7</v>
      </c>
    </row>
    <row r="29" spans="2:2" x14ac:dyDescent="0.25">
      <c r="B29" s="32">
        <v>66</v>
      </c>
    </row>
    <row r="30" spans="2:2" x14ac:dyDescent="0.25">
      <c r="B30" s="32">
        <v>46.9</v>
      </c>
    </row>
    <row r="31" spans="2:2" x14ac:dyDescent="0.25">
      <c r="B31" s="32">
        <v>41.5</v>
      </c>
    </row>
    <row r="32" spans="2:2" x14ac:dyDescent="0.25">
      <c r="B32" s="32">
        <v>40.5</v>
      </c>
    </row>
    <row r="33" spans="2:2" x14ac:dyDescent="0.25">
      <c r="B33" s="32">
        <v>55.1</v>
      </c>
    </row>
    <row r="34" spans="2:2" x14ac:dyDescent="0.25">
      <c r="B34" s="32">
        <v>55.3</v>
      </c>
    </row>
    <row r="35" spans="2:2" x14ac:dyDescent="0.25">
      <c r="B35" s="32">
        <v>65.5</v>
      </c>
    </row>
    <row r="36" spans="2:2" x14ac:dyDescent="0.25">
      <c r="B36" s="32">
        <v>74.099999999999994</v>
      </c>
    </row>
    <row r="37" spans="2:2" x14ac:dyDescent="0.25">
      <c r="B37" s="32">
        <v>40.299999999999997</v>
      </c>
    </row>
    <row r="38" spans="2:2" x14ac:dyDescent="0.25">
      <c r="B38" s="32">
        <v>48.2</v>
      </c>
    </row>
    <row r="39" spans="2:2" x14ac:dyDescent="0.25">
      <c r="B39" s="32">
        <v>70.900000000000006</v>
      </c>
    </row>
    <row r="40" spans="2:2" x14ac:dyDescent="0.25">
      <c r="B40" s="32">
        <v>44.1</v>
      </c>
    </row>
    <row r="41" spans="2:2" x14ac:dyDescent="0.25">
      <c r="B41" s="32">
        <v>43.7</v>
      </c>
    </row>
    <row r="42" spans="2:2" x14ac:dyDescent="0.25">
      <c r="B42" s="32">
        <v>52.3</v>
      </c>
    </row>
    <row r="43" spans="2:2" x14ac:dyDescent="0.25">
      <c r="B43" s="32">
        <v>43</v>
      </c>
    </row>
    <row r="44" spans="2:2" x14ac:dyDescent="0.25">
      <c r="B44" s="32">
        <v>69.8</v>
      </c>
    </row>
    <row r="45" spans="2:2" x14ac:dyDescent="0.25">
      <c r="B45" s="32">
        <v>42.7</v>
      </c>
    </row>
    <row r="46" spans="2:2" x14ac:dyDescent="0.25">
      <c r="B46" s="32">
        <v>42</v>
      </c>
    </row>
  </sheetData>
  <mergeCells count="3">
    <mergeCell ref="A3:I12"/>
    <mergeCell ref="D13:E13"/>
    <mergeCell ref="F13:G13"/>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15"/>
  <sheetViews>
    <sheetView tabSelected="1" workbookViewId="0">
      <selection activeCell="I28" sqref="I28"/>
    </sheetView>
  </sheetViews>
  <sheetFormatPr defaultRowHeight="15" x14ac:dyDescent="0.25"/>
  <sheetData>
    <row r="1" spans="1:9" x14ac:dyDescent="0.25">
      <c r="A1" t="s">
        <v>23</v>
      </c>
      <c r="D1" t="s">
        <v>9</v>
      </c>
      <c r="G1" s="8" t="s">
        <v>10</v>
      </c>
      <c r="H1" t="s">
        <v>45</v>
      </c>
    </row>
    <row r="3" spans="1:9" x14ac:dyDescent="0.25">
      <c r="A3" s="68" t="s">
        <v>46</v>
      </c>
      <c r="B3" s="68"/>
      <c r="C3" s="68"/>
      <c r="D3" s="68"/>
      <c r="E3" s="68"/>
      <c r="F3" s="68"/>
      <c r="G3" s="68"/>
      <c r="H3" s="68"/>
      <c r="I3" s="68"/>
    </row>
    <row r="4" spans="1:9" x14ac:dyDescent="0.25">
      <c r="A4" s="68"/>
      <c r="B4" s="68"/>
      <c r="C4" s="68"/>
      <c r="D4" s="68"/>
      <c r="E4" s="68"/>
      <c r="F4" s="68"/>
      <c r="G4" s="68"/>
      <c r="H4" s="68"/>
      <c r="I4" s="68"/>
    </row>
    <row r="5" spans="1:9" x14ac:dyDescent="0.25">
      <c r="A5" s="68"/>
      <c r="B5" s="68"/>
      <c r="C5" s="68"/>
      <c r="D5" s="68"/>
      <c r="E5" s="68"/>
      <c r="F5" s="68"/>
      <c r="G5" s="68"/>
      <c r="H5" s="68"/>
      <c r="I5" s="68"/>
    </row>
    <row r="7" spans="1:9" x14ac:dyDescent="0.25">
      <c r="B7" s="33">
        <v>4</v>
      </c>
      <c r="C7" s="34">
        <v>7</v>
      </c>
      <c r="D7" s="34">
        <v>3</v>
      </c>
      <c r="E7" s="34">
        <v>9</v>
      </c>
      <c r="F7" s="35">
        <v>2</v>
      </c>
    </row>
    <row r="8" spans="1:9" x14ac:dyDescent="0.25">
      <c r="B8" s="33">
        <v>4</v>
      </c>
      <c r="C8" s="34">
        <v>3</v>
      </c>
      <c r="D8" s="34">
        <v>5</v>
      </c>
      <c r="E8" s="34">
        <v>5</v>
      </c>
      <c r="F8" s="35">
        <v>3</v>
      </c>
    </row>
    <row r="9" spans="1:9" x14ac:dyDescent="0.25">
      <c r="B9" s="33">
        <v>9</v>
      </c>
      <c r="C9" s="34">
        <v>11</v>
      </c>
      <c r="D9" s="34">
        <v>8</v>
      </c>
      <c r="E9" s="34">
        <v>4</v>
      </c>
      <c r="F9" s="35">
        <v>2</v>
      </c>
    </row>
    <row r="10" spans="1:9" x14ac:dyDescent="0.25">
      <c r="B10" s="33">
        <v>3</v>
      </c>
      <c r="C10" s="34">
        <v>12</v>
      </c>
      <c r="D10" s="34">
        <v>6</v>
      </c>
      <c r="E10" s="34">
        <v>3</v>
      </c>
      <c r="F10" s="35">
        <v>12</v>
      </c>
    </row>
    <row r="12" spans="1:9" x14ac:dyDescent="0.25">
      <c r="B12" s="8" t="s">
        <v>47</v>
      </c>
      <c r="C12">
        <v>4</v>
      </c>
    </row>
    <row r="13" spans="1:9" x14ac:dyDescent="0.25">
      <c r="B13" s="8" t="s">
        <v>48</v>
      </c>
      <c r="C13">
        <v>5</v>
      </c>
    </row>
    <row r="14" spans="1:9" x14ac:dyDescent="0.25">
      <c r="B14" s="8" t="s">
        <v>49</v>
      </c>
      <c r="C14">
        <v>12</v>
      </c>
    </row>
    <row r="15" spans="1:9" x14ac:dyDescent="0.25">
      <c r="B15" s="8" t="s">
        <v>50</v>
      </c>
      <c r="C15">
        <v>2</v>
      </c>
    </row>
  </sheetData>
  <mergeCells count="1">
    <mergeCell ref="A3:I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Sheet1</vt:lpstr>
      <vt:lpstr>Sheet2</vt:lpstr>
      <vt:lpstr>Sheet3</vt:lpstr>
      <vt:lpstr>Sheet4</vt:lpstr>
      <vt:lpstr>Sheet5</vt:lpstr>
      <vt:lpstr>Sheet6</vt:lpstr>
      <vt:lpstr>Sheet7</vt:lpstr>
      <vt:lpstr>Sheet8</vt:lpstr>
      <vt:lpstr>Sheet9</vt:lpstr>
      <vt:lpstr>Sheet10</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Humphrey</dc:creator>
  <cp:lastModifiedBy>CLAIR CUNNINGHAM (RIT Student)</cp:lastModifiedBy>
  <dcterms:created xsi:type="dcterms:W3CDTF">2011-10-10T15:50:51Z</dcterms:created>
  <dcterms:modified xsi:type="dcterms:W3CDTF">2012-04-23T16:42:06Z</dcterms:modified>
</cp:coreProperties>
</file>