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360" yWindow="30" windowWidth="13395" windowHeight="12585" activeTab="2"/>
  </bookViews>
  <sheets>
    <sheet name="Sheet1" sheetId="1" r:id="rId1"/>
    <sheet name="Chart1.1" sheetId="4" r:id="rId2"/>
    <sheet name="Sheet2" sheetId="5" r:id="rId3"/>
  </sheets>
  <functionGroups builtInGroupCount="17"/>
  <definedNames>
    <definedName name="b">Sheet1!$C$10</definedName>
    <definedName name="h">Sheet1!$C$14</definedName>
    <definedName name="k">Sheet1!$C$12</definedName>
    <definedName name="L">Sheet1!$C$9</definedName>
    <definedName name="Ta">Sheet1!$C$13</definedName>
    <definedName name="Tw">Sheet1!$C$15</definedName>
    <definedName name="w">Sheet1!$C$11</definedName>
  </definedNames>
  <calcPr calcId="145621"/>
</workbook>
</file>

<file path=xl/calcChain.xml><?xml version="1.0" encoding="utf-8"?>
<calcChain xmlns="http://schemas.openxmlformats.org/spreadsheetml/2006/main">
  <c r="H37" i="1" l="1"/>
  <c r="G39" i="1"/>
  <c r="I40" i="1"/>
  <c r="G36" i="1"/>
  <c r="G24" i="1"/>
  <c r="I22" i="1"/>
  <c r="I28" i="1"/>
  <c r="I21" i="1"/>
  <c r="H33" i="1"/>
  <c r="I34" i="1"/>
  <c r="I25" i="1"/>
  <c r="H15" i="1"/>
  <c r="G19" i="1"/>
  <c r="I26" i="1"/>
  <c r="I14" i="1"/>
  <c r="H23" i="1"/>
  <c r="G23" i="1"/>
  <c r="I27" i="1"/>
  <c r="I12" i="1"/>
  <c r="H24" i="1"/>
  <c r="G20" i="1"/>
  <c r="G31" i="1"/>
  <c r="H18" i="1"/>
  <c r="H40" i="1"/>
  <c r="G37" i="1"/>
  <c r="H36" i="1"/>
  <c r="H27" i="1"/>
  <c r="H13" i="1"/>
  <c r="I11" i="1"/>
  <c r="I33" i="1"/>
  <c r="H12" i="1"/>
  <c r="H31" i="1"/>
  <c r="H16" i="1"/>
  <c r="I32" i="1"/>
  <c r="I18" i="1"/>
  <c r="G22" i="1"/>
  <c r="G25" i="1"/>
  <c r="G40" i="1"/>
  <c r="I36" i="1"/>
  <c r="H25" i="1"/>
  <c r="G30" i="1"/>
  <c r="I20" i="1"/>
  <c r="G13" i="1"/>
  <c r="I24" i="1"/>
  <c r="G17" i="1"/>
  <c r="H29" i="1"/>
  <c r="H20" i="1"/>
  <c r="I37" i="1"/>
  <c r="I39" i="1"/>
  <c r="G26" i="1"/>
  <c r="G15" i="1"/>
  <c r="I35" i="1"/>
  <c r="H22" i="1"/>
  <c r="I31" i="1"/>
  <c r="G18" i="1"/>
  <c r="I29" i="1"/>
  <c r="H11" i="1"/>
  <c r="I38" i="1"/>
  <c r="G34" i="1"/>
  <c r="G35" i="1"/>
  <c r="G12" i="1"/>
  <c r="G27" i="1"/>
  <c r="G16" i="1"/>
  <c r="G33" i="1"/>
  <c r="H14" i="1"/>
  <c r="G32" i="1"/>
  <c r="G38" i="1"/>
  <c r="H38" i="1"/>
  <c r="G21" i="1"/>
  <c r="G29" i="1"/>
  <c r="H30" i="1"/>
  <c r="H17" i="1"/>
  <c r="H26" i="1"/>
  <c r="H21" i="1"/>
  <c r="G28" i="1"/>
  <c r="I17" i="1"/>
  <c r="I16" i="1"/>
  <c r="H39" i="1"/>
  <c r="H34" i="1"/>
  <c r="H35" i="1"/>
  <c r="I19" i="1"/>
  <c r="G14" i="1"/>
  <c r="H19" i="1"/>
  <c r="H28" i="1"/>
  <c r="I30" i="1"/>
  <c r="G11" i="1"/>
  <c r="I13" i="1"/>
  <c r="I15" i="1"/>
  <c r="H32" i="1"/>
  <c r="I23" i="1"/>
</calcChain>
</file>

<file path=xl/sharedStrings.xml><?xml version="1.0" encoding="utf-8"?>
<sst xmlns="http://schemas.openxmlformats.org/spreadsheetml/2006/main" count="43" uniqueCount="38">
  <si>
    <t>Clair Cunningham</t>
  </si>
  <si>
    <t>PSWC-01</t>
  </si>
  <si>
    <t>Week5</t>
  </si>
  <si>
    <t>HW#5.1</t>
  </si>
  <si>
    <r>
      <t xml:space="preserve">Plot the temperature profile for three values of the convective heat transfer coefficient, h: the value given below , and twice and three times that value. Choose an appropriate distance, </t>
    </r>
    <r>
      <rPr>
        <sz val="11"/>
        <color theme="1"/>
        <rFont val="Calibri"/>
        <family val="2"/>
      </rPr>
      <t>Δ</t>
    </r>
    <r>
      <rPr>
        <sz val="11"/>
        <color theme="1"/>
        <rFont val="Calibri"/>
        <family val="2"/>
        <scheme val="minor"/>
      </rPr>
      <t>z, between your z values to get a smooth plot.</t>
    </r>
  </si>
  <si>
    <t>Fin Length,</t>
  </si>
  <si>
    <t>L =</t>
  </si>
  <si>
    <t>m</t>
  </si>
  <si>
    <t>Fin Half-Thickness,</t>
  </si>
  <si>
    <t>b =</t>
  </si>
  <si>
    <t>Fin width,</t>
  </si>
  <si>
    <t>w =</t>
  </si>
  <si>
    <t>Thermal Conductivity,</t>
  </si>
  <si>
    <t>k =</t>
  </si>
  <si>
    <t>W/m·K</t>
  </si>
  <si>
    <t>Ambient Temperature,</t>
  </si>
  <si>
    <r>
      <t>T</t>
    </r>
    <r>
      <rPr>
        <i/>
        <vertAlign val="subscript"/>
        <sz val="12"/>
        <color theme="1"/>
        <rFont val="Calibri"/>
        <family val="2"/>
      </rPr>
      <t>a</t>
    </r>
    <r>
      <rPr>
        <i/>
        <sz val="12"/>
        <color theme="1"/>
        <rFont val="Calibri"/>
        <family val="2"/>
      </rPr>
      <t xml:space="preserve"> =</t>
    </r>
  </si>
  <si>
    <t>K</t>
  </si>
  <si>
    <t>Convective Heat Transfer Coefficient,</t>
  </si>
  <si>
    <t>h =</t>
  </si>
  <si>
    <r>
      <t>W/m</t>
    </r>
    <r>
      <rPr>
        <vertAlign val="superscript"/>
        <sz val="12"/>
        <color theme="1"/>
        <rFont val="Calibri"/>
        <family val="2"/>
      </rPr>
      <t>2</t>
    </r>
    <r>
      <rPr>
        <sz val="12"/>
        <color theme="1"/>
        <rFont val="Calibri"/>
        <family val="2"/>
      </rPr>
      <t>·K</t>
    </r>
  </si>
  <si>
    <t>Fin Base / Wall Temperature,</t>
  </si>
  <si>
    <r>
      <t>T</t>
    </r>
    <r>
      <rPr>
        <i/>
        <vertAlign val="subscript"/>
        <sz val="12"/>
        <color theme="1"/>
        <rFont val="Calibri"/>
        <family val="2"/>
      </rPr>
      <t>w</t>
    </r>
    <r>
      <rPr>
        <i/>
        <sz val="12"/>
        <color theme="1"/>
        <rFont val="Calibri"/>
        <family val="2"/>
      </rPr>
      <t xml:space="preserve"> =</t>
    </r>
  </si>
  <si>
    <t>z</t>
  </si>
  <si>
    <t>T(z)</t>
  </si>
  <si>
    <t>h</t>
  </si>
  <si>
    <t>Week 5</t>
  </si>
  <si>
    <t>HW#5.2</t>
  </si>
  <si>
    <t>Write a VBA Sub procedure to read the coefficients of a quadratic equation, y = ax2 + bx + c, from the worksheet. It should calculate and write the values of the roots of the quadratic equation to the worksheet in a 2x2 matrix – where the each row is one of the two roots, x1 &amp; x2, and the first column is the real part of the root and the second column is the imaginary part of the root.</t>
  </si>
  <si>
    <t>y =</t>
  </si>
  <si>
    <t>a*x^2+</t>
  </si>
  <si>
    <t>b*x</t>
  </si>
  <si>
    <t>c</t>
  </si>
  <si>
    <t>Matrix</t>
  </si>
  <si>
    <t>Real</t>
  </si>
  <si>
    <t>X1</t>
  </si>
  <si>
    <t>X2</t>
  </si>
  <si>
    <t>Imaginary(i)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</si>
</sst>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2"/>
      <color theme="1"/>
      <name val="Calibri"/>
      <family val="2"/>
    </font>
    <font>
      <i/>
      <sz val="12"/>
      <color theme="1"/>
      <name val="Calibri"/>
      <family val="2"/>
    </font>
    <font>
      <i/>
      <vertAlign val="subscript"/>
      <sz val="12"/>
      <color theme="1"/>
      <name val="Calibri"/>
      <family val="2"/>
    </font>
    <font>
      <vertAlign val="superscript"/>
      <sz val="12"/>
      <color theme="1"/>
      <name val="Calibri"/>
      <family val="2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4">
    <xf numFmtId="0" fontId="0" fillId="0" borderId="0" xfId="0"/>
    <xf numFmtId="0" fontId="2" fillId="0" borderId="2" xfId="0" applyFont="1" applyBorder="1" applyAlignment="1">
      <alignment horizontal="right" vertical="center"/>
    </xf>
    <xf numFmtId="0" fontId="3" fillId="0" borderId="2" xfId="0" applyFont="1" applyBorder="1" applyAlignment="1">
      <alignment horizontal="right" vertical="center"/>
    </xf>
    <xf numFmtId="0" fontId="2" fillId="0" borderId="3" xfId="0" applyFont="1" applyBorder="1" applyAlignment="1">
      <alignment vertical="center"/>
    </xf>
    <xf numFmtId="0" fontId="2" fillId="0" borderId="0" xfId="0" applyFont="1" applyBorder="1" applyAlignment="1">
      <alignment horizontal="right" vertical="center"/>
    </xf>
    <xf numFmtId="0" fontId="3" fillId="0" borderId="0" xfId="0" applyFont="1" applyBorder="1" applyAlignment="1">
      <alignment horizontal="right" vertical="center"/>
    </xf>
    <xf numFmtId="0" fontId="2" fillId="0" borderId="5" xfId="0" applyFont="1" applyBorder="1" applyAlignment="1">
      <alignment vertical="center"/>
    </xf>
    <xf numFmtId="0" fontId="2" fillId="0" borderId="7" xfId="0" applyFont="1" applyBorder="1" applyAlignment="1">
      <alignment horizontal="right" vertical="center"/>
    </xf>
    <xf numFmtId="0" fontId="3" fillId="0" borderId="7" xfId="0" applyFont="1" applyBorder="1" applyAlignment="1">
      <alignment horizontal="right" vertical="center"/>
    </xf>
    <xf numFmtId="0" fontId="2" fillId="0" borderId="8" xfId="0" applyFont="1" applyBorder="1" applyAlignment="1">
      <alignment vertical="center"/>
    </xf>
    <xf numFmtId="0" fontId="2" fillId="0" borderId="1" xfId="0" applyFont="1" applyBorder="1" applyAlignment="1">
      <alignment horizontal="right" vertical="center"/>
    </xf>
    <xf numFmtId="0" fontId="2" fillId="0" borderId="4" xfId="0" applyFont="1" applyBorder="1" applyAlignment="1">
      <alignment horizontal="right" vertical="center"/>
    </xf>
    <xf numFmtId="0" fontId="2" fillId="0" borderId="6" xfId="0" applyFont="1" applyBorder="1" applyAlignment="1">
      <alignment horizontal="right" vertical="center"/>
    </xf>
    <xf numFmtId="0" fontId="0" fillId="0" borderId="0" xfId="0" applyBorder="1"/>
    <xf numFmtId="0" fontId="3" fillId="0" borderId="9" xfId="0" applyFont="1" applyFill="1" applyBorder="1" applyAlignment="1">
      <alignment horizontal="right" vertical="center"/>
    </xf>
    <xf numFmtId="0" fontId="2" fillId="0" borderId="10" xfId="0" applyFont="1" applyFill="1" applyBorder="1" applyAlignment="1">
      <alignment horizontal="right" vertical="center"/>
    </xf>
    <xf numFmtId="0" fontId="0" fillId="0" borderId="10" xfId="0" applyBorder="1"/>
    <xf numFmtId="0" fontId="0" fillId="0" borderId="11" xfId="0" applyBorder="1"/>
    <xf numFmtId="0" fontId="0" fillId="0" borderId="12" xfId="0" applyBorder="1" applyAlignment="1">
      <alignment horizontal="center" vertical="center"/>
    </xf>
    <xf numFmtId="0" fontId="0" fillId="0" borderId="13" xfId="0" applyBorder="1"/>
    <xf numFmtId="0" fontId="0" fillId="0" borderId="14" xfId="0" applyBorder="1" applyAlignment="1">
      <alignment horizontal="center" vertical="center"/>
    </xf>
    <xf numFmtId="0" fontId="0" fillId="0" borderId="15" xfId="0" applyBorder="1"/>
    <xf numFmtId="0" fontId="0" fillId="0" borderId="16" xfId="0" applyBorder="1"/>
    <xf numFmtId="0" fontId="0" fillId="2" borderId="1" xfId="0" applyFill="1" applyBorder="1" applyAlignment="1">
      <alignment horizontal="center" vertical="top" wrapText="1"/>
    </xf>
    <xf numFmtId="0" fontId="0" fillId="2" borderId="2" xfId="0" applyFill="1" applyBorder="1" applyAlignment="1">
      <alignment horizontal="center" vertical="top" wrapText="1"/>
    </xf>
    <xf numFmtId="0" fontId="0" fillId="2" borderId="3" xfId="0" applyFill="1" applyBorder="1" applyAlignment="1">
      <alignment horizontal="center" vertical="top" wrapText="1"/>
    </xf>
    <xf numFmtId="0" fontId="0" fillId="2" borderId="4" xfId="0" applyFill="1" applyBorder="1" applyAlignment="1">
      <alignment horizontal="center" vertical="top" wrapText="1"/>
    </xf>
    <xf numFmtId="0" fontId="0" fillId="2" borderId="0" xfId="0" applyFill="1" applyBorder="1" applyAlignment="1">
      <alignment horizontal="center" vertical="top" wrapText="1"/>
    </xf>
    <xf numFmtId="0" fontId="0" fillId="2" borderId="5" xfId="0" applyFill="1" applyBorder="1" applyAlignment="1">
      <alignment horizontal="center" vertical="top" wrapText="1"/>
    </xf>
    <xf numFmtId="0" fontId="0" fillId="2" borderId="6" xfId="0" applyFill="1" applyBorder="1" applyAlignment="1">
      <alignment horizontal="center" vertical="top" wrapText="1"/>
    </xf>
    <xf numFmtId="0" fontId="0" fillId="2" borderId="7" xfId="0" applyFill="1" applyBorder="1" applyAlignment="1">
      <alignment horizontal="center" vertical="top" wrapText="1"/>
    </xf>
    <xf numFmtId="0" fontId="0" fillId="2" borderId="8" xfId="0" applyFill="1" applyBorder="1" applyAlignment="1">
      <alignment horizontal="center" vertical="top" wrapText="1"/>
    </xf>
    <xf numFmtId="0" fontId="6" fillId="2" borderId="9" xfId="0" applyFont="1" applyFill="1" applyBorder="1" applyAlignment="1">
      <alignment horizontal="center" vertical="center" wrapText="1"/>
    </xf>
    <xf numFmtId="0" fontId="0" fillId="2" borderId="10" xfId="0" applyFill="1" applyBorder="1" applyAlignment="1">
      <alignment horizontal="center" vertical="center" wrapText="1"/>
    </xf>
    <xf numFmtId="0" fontId="0" fillId="2" borderId="11" xfId="0" applyFill="1" applyBorder="1" applyAlignment="1">
      <alignment horizontal="center" vertical="center" wrapText="1"/>
    </xf>
    <xf numFmtId="0" fontId="0" fillId="2" borderId="12" xfId="0" applyFill="1" applyBorder="1" applyAlignment="1">
      <alignment horizontal="center" vertical="center" wrapText="1"/>
    </xf>
    <xf numFmtId="0" fontId="0" fillId="2" borderId="0" xfId="0" applyFill="1" applyBorder="1" applyAlignment="1">
      <alignment horizontal="center" vertical="center" wrapText="1"/>
    </xf>
    <xf numFmtId="0" fontId="0" fillId="2" borderId="13" xfId="0" applyFill="1" applyBorder="1" applyAlignment="1">
      <alignment horizontal="center" vertical="center" wrapText="1"/>
    </xf>
    <xf numFmtId="0" fontId="0" fillId="2" borderId="14" xfId="0" applyFill="1" applyBorder="1" applyAlignment="1">
      <alignment horizontal="center" vertical="center" wrapText="1"/>
    </xf>
    <xf numFmtId="0" fontId="0" fillId="2" borderId="15" xfId="0" applyFill="1" applyBorder="1" applyAlignment="1">
      <alignment horizontal="center" vertical="center" wrapText="1"/>
    </xf>
    <xf numFmtId="0" fontId="0" fillId="2" borderId="16" xfId="0" applyFill="1" applyBorder="1" applyAlignment="1">
      <alignment horizontal="center" vertical="center" wrapText="1"/>
    </xf>
    <xf numFmtId="0" fontId="0" fillId="0" borderId="9" xfId="0" applyBorder="1"/>
    <xf numFmtId="0" fontId="0" fillId="0" borderId="14" xfId="0" applyBorder="1"/>
    <xf numFmtId="0" fontId="0" fillId="0" borderId="12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calcChain" Target="calcChain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Temperature Profile</a:t>
            </a:r>
          </a:p>
        </c:rich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h = 40</c:v>
          </c:tx>
          <c:marker>
            <c:symbol val="none"/>
          </c:marker>
          <c:xVal>
            <c:numRef>
              <c:f>Sheet1!$F$11:$F$36</c:f>
              <c:numCache>
                <c:formatCode>General</c:formatCode>
                <c:ptCount val="26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0.11</c:v>
                </c:pt>
                <c:pt idx="11">
                  <c:v>0.12</c:v>
                </c:pt>
                <c:pt idx="12">
                  <c:v>0.13</c:v>
                </c:pt>
                <c:pt idx="13">
                  <c:v>0.14000000000000001</c:v>
                </c:pt>
                <c:pt idx="14">
                  <c:v>0.15</c:v>
                </c:pt>
                <c:pt idx="15">
                  <c:v>0.16</c:v>
                </c:pt>
                <c:pt idx="16">
                  <c:v>0.17</c:v>
                </c:pt>
                <c:pt idx="17">
                  <c:v>0.18</c:v>
                </c:pt>
                <c:pt idx="18">
                  <c:v>0.19</c:v>
                </c:pt>
                <c:pt idx="19">
                  <c:v>0.2</c:v>
                </c:pt>
                <c:pt idx="20">
                  <c:v>0.21</c:v>
                </c:pt>
                <c:pt idx="21">
                  <c:v>0.22</c:v>
                </c:pt>
                <c:pt idx="22">
                  <c:v>0.23</c:v>
                </c:pt>
                <c:pt idx="23">
                  <c:v>0.24</c:v>
                </c:pt>
                <c:pt idx="24">
                  <c:v>0.25</c:v>
                </c:pt>
                <c:pt idx="25">
                  <c:v>0.26</c:v>
                </c:pt>
              </c:numCache>
            </c:numRef>
          </c:xVal>
          <c:yVal>
            <c:numRef>
              <c:f>Sheet1!$G$11:$G$36</c:f>
              <c:numCache>
                <c:formatCode>General</c:formatCode>
                <c:ptCount val="26"/>
                <c:pt idx="0">
                  <c:v>597.6665737609253</c:v>
                </c:pt>
                <c:pt idx="1">
                  <c:v>595.41884928588274</c:v>
                </c:pt>
                <c:pt idx="2">
                  <c:v>593.25613281490723</c:v>
                </c:pt>
                <c:pt idx="3">
                  <c:v>591.17775682574643</c:v>
                </c:pt>
                <c:pt idx="4">
                  <c:v>589.18307982783085</c:v>
                </c:pt>
                <c:pt idx="5">
                  <c:v>587.27148616427689</c:v>
                </c:pt>
                <c:pt idx="6">
                  <c:v>585.44238582186551</c:v>
                </c:pt>
                <c:pt idx="7">
                  <c:v>583.69521424893378</c:v>
                </c:pt>
                <c:pt idx="8">
                  <c:v>582.02943218112637</c:v>
                </c:pt>
                <c:pt idx="9">
                  <c:v>580.44452547495189</c:v>
                </c:pt>
                <c:pt idx="10">
                  <c:v>578.9400049490921</c:v>
                </c:pt>
                <c:pt idx="11">
                  <c:v>577.5154062334168</c:v>
                </c:pt>
                <c:pt idx="12">
                  <c:v>576.17028962565496</c:v>
                </c:pt>
                <c:pt idx="13">
                  <c:v>574.90423995568187</c:v>
                </c:pt>
                <c:pt idx="14">
                  <c:v>573.71686645737623</c:v>
                </c:pt>
                <c:pt idx="15">
                  <c:v>572.60780264800997</c:v>
                </c:pt>
                <c:pt idx="16">
                  <c:v>571.57670621513432</c:v>
                </c:pt>
                <c:pt idx="17">
                  <c:v>570.62325891092405</c:v>
                </c:pt>
                <c:pt idx="18">
                  <c:v>569.74716645395097</c:v>
                </c:pt>
                <c:pt idx="19">
                  <c:v>568.94815843835397</c:v>
                </c:pt>
                <c:pt idx="20">
                  <c:v>568.22598825037801</c:v>
                </c:pt>
                <c:pt idx="21">
                  <c:v>567.58043299225665</c:v>
                </c:pt>
                <c:pt idx="22">
                  <c:v>567.01129341341527</c:v>
                </c:pt>
                <c:pt idx="23">
                  <c:v>566.5183938489721</c:v>
                </c:pt>
                <c:pt idx="24">
                  <c:v>566.10158216551895</c:v>
                </c:pt>
                <c:pt idx="25">
                  <c:v>565.76072971416579</c:v>
                </c:pt>
              </c:numCache>
            </c:numRef>
          </c:yVal>
          <c:smooth val="1"/>
        </c:ser>
        <c:ser>
          <c:idx val="1"/>
          <c:order val="1"/>
          <c:tx>
            <c:v>h = 80</c:v>
          </c:tx>
          <c:marker>
            <c:symbol val="none"/>
          </c:marker>
          <c:xVal>
            <c:numRef>
              <c:f>Sheet1!$F$11:$F$36</c:f>
              <c:numCache>
                <c:formatCode>General</c:formatCode>
                <c:ptCount val="26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0.11</c:v>
                </c:pt>
                <c:pt idx="11">
                  <c:v>0.12</c:v>
                </c:pt>
                <c:pt idx="12">
                  <c:v>0.13</c:v>
                </c:pt>
                <c:pt idx="13">
                  <c:v>0.14000000000000001</c:v>
                </c:pt>
                <c:pt idx="14">
                  <c:v>0.15</c:v>
                </c:pt>
                <c:pt idx="15">
                  <c:v>0.16</c:v>
                </c:pt>
                <c:pt idx="16">
                  <c:v>0.17</c:v>
                </c:pt>
                <c:pt idx="17">
                  <c:v>0.18</c:v>
                </c:pt>
                <c:pt idx="18">
                  <c:v>0.19</c:v>
                </c:pt>
                <c:pt idx="19">
                  <c:v>0.2</c:v>
                </c:pt>
                <c:pt idx="20">
                  <c:v>0.21</c:v>
                </c:pt>
                <c:pt idx="21">
                  <c:v>0.22</c:v>
                </c:pt>
                <c:pt idx="22">
                  <c:v>0.23</c:v>
                </c:pt>
                <c:pt idx="23">
                  <c:v>0.24</c:v>
                </c:pt>
                <c:pt idx="24">
                  <c:v>0.25</c:v>
                </c:pt>
                <c:pt idx="25">
                  <c:v>0.26</c:v>
                </c:pt>
              </c:numCache>
            </c:numRef>
          </c:xVal>
          <c:yVal>
            <c:numRef>
              <c:f>Sheet1!$H$11:$H$36</c:f>
              <c:numCache>
                <c:formatCode>General</c:formatCode>
                <c:ptCount val="26"/>
                <c:pt idx="0">
                  <c:v>598.78213410872149</c:v>
                </c:pt>
                <c:pt idx="1">
                  <c:v>597.60729070498746</c:v>
                </c:pt>
                <c:pt idx="2">
                  <c:v>596.47528848347179</c:v>
                </c:pt>
                <c:pt idx="3">
                  <c:v>595.38595275022726</c:v>
                </c:pt>
                <c:pt idx="4">
                  <c:v>594.33911539572591</c:v>
                </c:pt>
                <c:pt idx="5">
                  <c:v>593.33461486891542</c:v>
                </c:pt>
                <c:pt idx="6">
                  <c:v>592.37229615228887</c:v>
                </c:pt>
                <c:pt idx="7">
                  <c:v>591.45201073796193</c:v>
                </c:pt>
                <c:pt idx="8">
                  <c:v>590.57361660475385</c:v>
                </c:pt>
                <c:pt idx="9">
                  <c:v>589.73697819627137</c:v>
                </c:pt>
                <c:pt idx="10">
                  <c:v>588.94196639998859</c:v>
                </c:pt>
                <c:pt idx="11">
                  <c:v>588.18845852732215</c:v>
                </c:pt>
                <c:pt idx="12">
                  <c:v>587.47633829469737</c:v>
                </c:pt>
                <c:pt idx="13">
                  <c:v>586.80549580560364</c:v>
                </c:pt>
                <c:pt idx="14">
                  <c:v>586.17582753363376</c:v>
                </c:pt>
                <c:pt idx="15">
                  <c:v>585.58723630650888</c:v>
                </c:pt>
                <c:pt idx="16">
                  <c:v>585.03963129108104</c:v>
                </c:pt>
                <c:pt idx="17">
                  <c:v>584.53292797931681</c:v>
                </c:pt>
                <c:pt idx="18">
                  <c:v>584.0670481752552</c:v>
                </c:pt>
                <c:pt idx="19">
                  <c:v>583.64191998293984</c:v>
                </c:pt>
                <c:pt idx="20">
                  <c:v>583.25747779532469</c:v>
                </c:pt>
                <c:pt idx="21">
                  <c:v>582.9136622841487</c:v>
                </c:pt>
                <c:pt idx="22">
                  <c:v>582.61042039078029</c:v>
                </c:pt>
                <c:pt idx="23">
                  <c:v>582.34770531802906</c:v>
                </c:pt>
                <c:pt idx="24">
                  <c:v>582.12547652292415</c:v>
                </c:pt>
                <c:pt idx="25">
                  <c:v>581.94369971045751</c:v>
                </c:pt>
              </c:numCache>
            </c:numRef>
          </c:yVal>
          <c:smooth val="1"/>
        </c:ser>
        <c:ser>
          <c:idx val="2"/>
          <c:order val="2"/>
          <c:tx>
            <c:v>h = 120</c:v>
          </c:tx>
          <c:marker>
            <c:symbol val="none"/>
          </c:marker>
          <c:xVal>
            <c:numRef>
              <c:f>Sheet1!$F$11:$F$36</c:f>
              <c:numCache>
                <c:formatCode>General</c:formatCode>
                <c:ptCount val="26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0.11</c:v>
                </c:pt>
                <c:pt idx="11">
                  <c:v>0.12</c:v>
                </c:pt>
                <c:pt idx="12">
                  <c:v>0.13</c:v>
                </c:pt>
                <c:pt idx="13">
                  <c:v>0.14000000000000001</c:v>
                </c:pt>
                <c:pt idx="14">
                  <c:v>0.15</c:v>
                </c:pt>
                <c:pt idx="15">
                  <c:v>0.16</c:v>
                </c:pt>
                <c:pt idx="16">
                  <c:v>0.17</c:v>
                </c:pt>
                <c:pt idx="17">
                  <c:v>0.18</c:v>
                </c:pt>
                <c:pt idx="18">
                  <c:v>0.19</c:v>
                </c:pt>
                <c:pt idx="19">
                  <c:v>0.2</c:v>
                </c:pt>
                <c:pt idx="20">
                  <c:v>0.21</c:v>
                </c:pt>
                <c:pt idx="21">
                  <c:v>0.22</c:v>
                </c:pt>
                <c:pt idx="22">
                  <c:v>0.23</c:v>
                </c:pt>
                <c:pt idx="23">
                  <c:v>0.24</c:v>
                </c:pt>
                <c:pt idx="24">
                  <c:v>0.25</c:v>
                </c:pt>
                <c:pt idx="25">
                  <c:v>0.26</c:v>
                </c:pt>
              </c:numCache>
            </c:numRef>
          </c:xVal>
          <c:yVal>
            <c:numRef>
              <c:f>Sheet1!$I$11:$I$36</c:f>
              <c:numCache>
                <c:formatCode>General</c:formatCode>
                <c:ptCount val="26"/>
                <c:pt idx="0">
                  <c:v>599.1759120755238</c:v>
                </c:pt>
                <c:pt idx="1">
                  <c:v>598.38054619894547</c:v>
                </c:pt>
                <c:pt idx="2">
                  <c:v>597.6138205417983</c:v>
                </c:pt>
                <c:pt idx="3">
                  <c:v>596.87565622216584</c:v>
                </c:pt>
                <c:pt idx="4">
                  <c:v>596.16597729656542</c:v>
                </c:pt>
                <c:pt idx="5">
                  <c:v>595.48471075213615</c:v>
                </c:pt>
                <c:pt idx="6">
                  <c:v>594.83178649912634</c:v>
                </c:pt>
                <c:pt idx="7">
                  <c:v>594.20713736368305</c:v>
                </c:pt>
                <c:pt idx="8">
                  <c:v>593.610699080941</c:v>
                </c:pt>
                <c:pt idx="9">
                  <c:v>593.04241028841091</c:v>
                </c:pt>
                <c:pt idx="10">
                  <c:v>592.50221251966627</c:v>
                </c:pt>
                <c:pt idx="11">
                  <c:v>591.9900501983285</c:v>
                </c:pt>
                <c:pt idx="12">
                  <c:v>591.50587063234912</c:v>
                </c:pt>
                <c:pt idx="13">
                  <c:v>591.04962400858835</c:v>
                </c:pt>
                <c:pt idx="14">
                  <c:v>590.62126338769076</c:v>
                </c:pt>
                <c:pt idx="15">
                  <c:v>590.22074469925587</c:v>
                </c:pt>
                <c:pt idx="16">
                  <c:v>589.84802673730383</c:v>
                </c:pt>
                <c:pt idx="17">
                  <c:v>589.50307115603664</c:v>
                </c:pt>
                <c:pt idx="18">
                  <c:v>589.18584246589296</c:v>
                </c:pt>
                <c:pt idx="19">
                  <c:v>588.89630802989609</c:v>
                </c:pt>
                <c:pt idx="20">
                  <c:v>588.6344380602975</c:v>
                </c:pt>
                <c:pt idx="21">
                  <c:v>588.40020561551103</c:v>
                </c:pt>
                <c:pt idx="22">
                  <c:v>588.19358659734235</c:v>
                </c:pt>
                <c:pt idx="23">
                  <c:v>588.01455974850819</c:v>
                </c:pt>
                <c:pt idx="24">
                  <c:v>587.86310665045062</c:v>
                </c:pt>
                <c:pt idx="25">
                  <c:v>587.73921172144185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8894400"/>
        <c:axId val="108894976"/>
      </c:scatterChart>
      <c:valAx>
        <c:axId val="108894400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Distance (m)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8894976"/>
        <c:crosses val="autoZero"/>
        <c:crossBetween val="midCat"/>
      </c:valAx>
      <c:valAx>
        <c:axId val="1088949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Temperature ( K°)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8894400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4"/>
  <sheetViews>
    <sheetView zoomScale="101" workbookViewId="0" zoomToFit="1"/>
  </sheetViews>
  <pageMargins left="0.7" right="0.7" top="0.75" bottom="0.75" header="0.3" footer="0.3"/>
  <pageSetup orientation="landscape" r:id="rId1"/>
  <drawing r:id="rId2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4</xdr:row>
      <xdr:rowOff>152400</xdr:rowOff>
    </xdr:from>
    <xdr:ext cx="2857501" cy="57381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/>
            <xdr:cNvSpPr txBox="1"/>
          </xdr:nvSpPr>
          <xdr:spPr>
            <a:xfrm>
              <a:off x="0" y="923925"/>
              <a:ext cx="2857501" cy="57381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i="1">
                        <a:solidFill>
                          <a:schemeClr val="tx1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𝑇</m:t>
                    </m:r>
                    <m:d>
                      <m:dPr>
                        <m:ctrlPr>
                          <a:rPr lang="en-US" sz="110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a:rPr lang="en-US" sz="110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𝑧</m:t>
                        </m:r>
                      </m:e>
                    </m:d>
                    <m:r>
                      <a:rPr lang="en-US" sz="1100" i="1">
                        <a:solidFill>
                          <a:schemeClr val="tx1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=</m:t>
                    </m:r>
                    <m:sSub>
                      <m:sSubPr>
                        <m:ctrlPr>
                          <a:rPr lang="en-US" sz="110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110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𝑇</m:t>
                        </m:r>
                      </m:e>
                      <m:sub>
                        <m:r>
                          <a:rPr lang="en-US" sz="110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𝑎</m:t>
                        </m:r>
                      </m:sub>
                    </m:sSub>
                    <m:r>
                      <a:rPr lang="en-US" sz="1100" i="1">
                        <a:solidFill>
                          <a:schemeClr val="tx1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+</m:t>
                    </m:r>
                    <m:d>
                      <m:dPr>
                        <m:ctrlPr>
                          <a:rPr lang="en-US" sz="110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n-US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𝑇</m:t>
                            </m:r>
                          </m:e>
                          <m:sub>
                            <m:r>
                              <a:rPr lang="en-US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𝑤</m:t>
                            </m:r>
                          </m:sub>
                        </m:sSub>
                        <m:r>
                          <a:rPr lang="en-US" sz="110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−</m:t>
                        </m:r>
                        <m:sSub>
                          <m:sSubPr>
                            <m:ctrlPr>
                              <a:rPr lang="en-US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𝑇</m:t>
                            </m:r>
                          </m:e>
                          <m:sub>
                            <m:r>
                              <a:rPr lang="en-US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𝑎</m:t>
                            </m:r>
                          </m:sub>
                        </m:sSub>
                      </m:e>
                    </m:d>
                    <m:f>
                      <m:fPr>
                        <m:ctrlPr>
                          <a:rPr lang="en-US" sz="110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</m:ctrlPr>
                      </m:fPr>
                      <m:num>
                        <m:func>
                          <m:funcPr>
                            <m:ctrlPr>
                              <a:rPr lang="en-US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</m:ctrlPr>
                          </m:funcPr>
                          <m:fName>
                            <m:r>
                              <m:rPr>
                                <m:sty m:val="p"/>
                              </m:rPr>
                              <a:rPr lang="en-US" sz="1100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cosh</m:t>
                            </m:r>
                          </m:fName>
                          <m:e>
                            <m:d>
                              <m:dPr>
                                <m:ctrlPr>
                                  <a:rPr lang="en-US" sz="11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</m:ctrlPr>
                              </m:dPr>
                              <m:e>
                                <m:r>
                                  <a:rPr lang="en-US" sz="11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𝑁</m:t>
                                </m:r>
                                <m:d>
                                  <m:dPr>
                                    <m:ctrlPr>
                                      <a:rPr lang="en-US" sz="110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/>
                                        <a:ea typeface="+mn-ea"/>
                                        <a:cs typeface="+mn-cs"/>
                                      </a:rPr>
                                    </m:ctrlPr>
                                  </m:dPr>
                                  <m:e>
                                    <m:r>
                                      <a:rPr lang="en-US" sz="110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/>
                                        <a:ea typeface="+mn-ea"/>
                                        <a:cs typeface="+mn-cs"/>
                                      </a:rPr>
                                      <m:t>1−</m:t>
                                    </m:r>
                                    <m:f>
                                      <m:fPr>
                                        <m:ctrlPr>
                                          <a:rPr lang="en-US" sz="110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fPr>
                                      <m:num>
                                        <m:r>
                                          <a:rPr lang="en-US" sz="110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/>
                                            <a:ea typeface="+mn-ea"/>
                                            <a:cs typeface="+mn-cs"/>
                                          </a:rPr>
                                          <m:t>𝑧</m:t>
                                        </m:r>
                                      </m:num>
                                      <m:den>
                                        <m:r>
                                          <a:rPr lang="en-US" sz="110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/>
                                            <a:ea typeface="+mn-ea"/>
                                            <a:cs typeface="+mn-cs"/>
                                          </a:rPr>
                                          <m:t>𝐿</m:t>
                                        </m:r>
                                      </m:den>
                                    </m:f>
                                  </m:e>
                                </m:d>
                              </m:e>
                            </m:d>
                          </m:e>
                        </m:func>
                      </m:num>
                      <m:den>
                        <m:func>
                          <m:funcPr>
                            <m:ctrlPr>
                              <a:rPr lang="en-US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</m:ctrlPr>
                          </m:funcPr>
                          <m:fName>
                            <m:r>
                              <m:rPr>
                                <m:sty m:val="p"/>
                              </m:rPr>
                              <a:rPr lang="en-US" sz="1100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cosh</m:t>
                            </m:r>
                          </m:fName>
                          <m:e>
                            <m:d>
                              <m:dPr>
                                <m:ctrlPr>
                                  <a:rPr lang="en-US" sz="11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</m:ctrlPr>
                              </m:dPr>
                              <m:e>
                                <m:r>
                                  <a:rPr lang="en-US" sz="11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𝑁</m:t>
                                </m:r>
                              </m:e>
                            </m:d>
                          </m:e>
                        </m:func>
                      </m:den>
                    </m:f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2" name="TextBox 1"/>
            <xdr:cNvSpPr txBox="1"/>
          </xdr:nvSpPr>
          <xdr:spPr>
            <a:xfrm>
              <a:off x="0" y="923925"/>
              <a:ext cx="2857501" cy="57381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r>
                <a:rPr lang="en-US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𝑇(𝑧)=𝑇_𝑎+(𝑇_𝑤−𝑇_𝑎 )   cosh⁡(𝑁(1−𝑧/𝐿))/cosh⁡(𝑁) 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4</xdr:col>
      <xdr:colOff>228599</xdr:colOff>
      <xdr:row>4</xdr:row>
      <xdr:rowOff>133351</xdr:rowOff>
    </xdr:from>
    <xdr:ext cx="1409701" cy="609600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3" name="TextBox 2"/>
            <xdr:cNvSpPr txBox="1"/>
          </xdr:nvSpPr>
          <xdr:spPr>
            <a:xfrm>
              <a:off x="3171824" y="904876"/>
              <a:ext cx="1409701" cy="6096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i="1">
                        <a:solidFill>
                          <a:schemeClr val="tx1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𝑤h𝑒𝑟𝑒</m:t>
                    </m:r>
                    <m:r>
                      <a:rPr lang="en-US" sz="1100" i="1">
                        <a:solidFill>
                          <a:schemeClr val="tx1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 </m:t>
                    </m:r>
                    <m:r>
                      <a:rPr lang="en-US" sz="1100" i="1">
                        <a:solidFill>
                          <a:schemeClr val="tx1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𝑁</m:t>
                    </m:r>
                    <m:r>
                      <a:rPr lang="en-US" sz="1100" i="1">
                        <a:solidFill>
                          <a:schemeClr val="tx1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≡</m:t>
                    </m:r>
                    <m:rad>
                      <m:radPr>
                        <m:degHide m:val="on"/>
                        <m:ctrlPr>
                          <a:rPr lang="en-US" sz="110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r>
                              <a:rPr lang="en-US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h</m:t>
                            </m:r>
                            <m:sSup>
                              <m:sSupPr>
                                <m:ctrlPr>
                                  <a:rPr lang="en-US" sz="11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en-US" sz="11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𝐿</m:t>
                                </m:r>
                              </m:e>
                              <m:sup>
                                <m:r>
                                  <a:rPr lang="en-US" sz="11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sup>
                            </m:sSup>
                          </m:num>
                          <m:den>
                            <m:r>
                              <a:rPr lang="en-US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𝑘𝐵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en-US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endParaRPr lang="en-US" sz="1100"/>
            </a:p>
          </xdr:txBody>
        </xdr:sp>
      </mc:Choice>
      <mc:Fallback>
        <xdr:sp macro="" textlink="">
          <xdr:nvSpPr>
            <xdr:cNvPr id="3" name="TextBox 2"/>
            <xdr:cNvSpPr txBox="1"/>
          </xdr:nvSpPr>
          <xdr:spPr>
            <a:xfrm>
              <a:off x="3171824" y="904876"/>
              <a:ext cx="1409701" cy="6096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𝑤ℎ𝑒𝑟𝑒 𝑁≡√((ℎ𝐿^2)/𝑘𝐵)</a:t>
              </a:r>
              <a:endParaRPr lang="en-US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endParaRPr lang="en-US" sz="1100"/>
            </a:p>
          </xdr:txBody>
        </xdr:sp>
      </mc:Fallback>
    </mc:AlternateContent>
    <xdr:clientData/>
  </xdr:oneCellAnchor>
  <xdr:twoCellAnchor editAs="oneCell">
    <xdr:from>
      <xdr:col>0</xdr:col>
      <xdr:colOff>428625</xdr:colOff>
      <xdr:row>16</xdr:row>
      <xdr:rowOff>95250</xdr:rowOff>
    </xdr:from>
    <xdr:to>
      <xdr:col>4</xdr:col>
      <xdr:colOff>337820</xdr:colOff>
      <xdr:row>28</xdr:row>
      <xdr:rowOff>177165</xdr:rowOff>
    </xdr:to>
    <xdr:pic>
      <xdr:nvPicPr>
        <xdr:cNvPr id="4" name="Picture 3"/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8625" y="3343275"/>
          <a:ext cx="2852420" cy="2367915"/>
        </a:xfrm>
        <a:prstGeom prst="rect">
          <a:avLst/>
        </a:prstGeom>
        <a:noFill/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66807" cy="6290272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40"/>
  <sheetViews>
    <sheetView topLeftCell="A5" workbookViewId="0">
      <selection activeCell="D34" sqref="D34"/>
    </sheetView>
  </sheetViews>
  <sheetFormatPr defaultRowHeight="15" x14ac:dyDescent="0.25"/>
  <cols>
    <col min="1" max="1" width="16.7109375" bestFit="1" customWidth="1"/>
    <col min="2" max="2" width="9.140625" customWidth="1"/>
    <col min="5" max="5" width="11.28515625" bestFit="1" customWidth="1"/>
  </cols>
  <sheetData>
    <row r="1" spans="1:9" x14ac:dyDescent="0.25">
      <c r="A1" t="s">
        <v>0</v>
      </c>
      <c r="D1" t="s">
        <v>1</v>
      </c>
      <c r="F1" t="s">
        <v>2</v>
      </c>
      <c r="G1" t="s">
        <v>3</v>
      </c>
    </row>
    <row r="2" spans="1:9" ht="15.75" thickBot="1" x14ac:dyDescent="0.3"/>
    <row r="3" spans="1:9" ht="15" customHeight="1" x14ac:dyDescent="0.25">
      <c r="A3" s="23" t="s">
        <v>4</v>
      </c>
      <c r="B3" s="24"/>
      <c r="C3" s="24"/>
      <c r="D3" s="24"/>
      <c r="E3" s="24"/>
      <c r="F3" s="24"/>
      <c r="G3" s="25"/>
    </row>
    <row r="4" spans="1:9" x14ac:dyDescent="0.25">
      <c r="A4" s="26"/>
      <c r="B4" s="27"/>
      <c r="C4" s="27"/>
      <c r="D4" s="27"/>
      <c r="E4" s="27"/>
      <c r="F4" s="27"/>
      <c r="G4" s="28"/>
    </row>
    <row r="5" spans="1:9" x14ac:dyDescent="0.25">
      <c r="A5" s="26"/>
      <c r="B5" s="27"/>
      <c r="C5" s="27"/>
      <c r="D5" s="27"/>
      <c r="E5" s="27"/>
      <c r="F5" s="27"/>
      <c r="G5" s="28"/>
    </row>
    <row r="6" spans="1:9" x14ac:dyDescent="0.25">
      <c r="A6" s="26"/>
      <c r="B6" s="27"/>
      <c r="C6" s="27"/>
      <c r="D6" s="27"/>
      <c r="E6" s="27"/>
      <c r="F6" s="27"/>
      <c r="G6" s="28"/>
    </row>
    <row r="7" spans="1:9" x14ac:dyDescent="0.25">
      <c r="A7" s="26"/>
      <c r="B7" s="27"/>
      <c r="C7" s="27"/>
      <c r="D7" s="27"/>
      <c r="E7" s="27"/>
      <c r="F7" s="27"/>
      <c r="G7" s="28"/>
    </row>
    <row r="8" spans="1:9" ht="15.75" thickBot="1" x14ac:dyDescent="0.3">
      <c r="A8" s="29"/>
      <c r="B8" s="30"/>
      <c r="C8" s="30"/>
      <c r="D8" s="30"/>
      <c r="E8" s="30"/>
      <c r="F8" s="30"/>
      <c r="G8" s="31"/>
    </row>
    <row r="9" spans="1:9" ht="15.75" x14ac:dyDescent="0.25">
      <c r="A9" s="10" t="s">
        <v>5</v>
      </c>
      <c r="B9" s="2" t="s">
        <v>6</v>
      </c>
      <c r="C9" s="1">
        <v>0.3</v>
      </c>
      <c r="D9" s="3" t="s">
        <v>7</v>
      </c>
      <c r="F9" s="14" t="s">
        <v>24</v>
      </c>
      <c r="G9" s="15" t="s">
        <v>25</v>
      </c>
      <c r="H9" s="16"/>
      <c r="I9" s="17"/>
    </row>
    <row r="10" spans="1:9" ht="15.75" x14ac:dyDescent="0.25">
      <c r="A10" s="11" t="s">
        <v>8</v>
      </c>
      <c r="B10" s="5" t="s">
        <v>9</v>
      </c>
      <c r="C10" s="4">
        <v>0.01</v>
      </c>
      <c r="D10" s="6" t="s">
        <v>7</v>
      </c>
      <c r="F10" s="18" t="s">
        <v>23</v>
      </c>
      <c r="G10" s="13">
        <v>40</v>
      </c>
      <c r="H10" s="13">
        <v>80</v>
      </c>
      <c r="I10" s="19">
        <v>120</v>
      </c>
    </row>
    <row r="11" spans="1:9" ht="15.75" x14ac:dyDescent="0.25">
      <c r="A11" s="11" t="s">
        <v>10</v>
      </c>
      <c r="B11" s="5" t="s">
        <v>11</v>
      </c>
      <c r="C11" s="4">
        <v>1</v>
      </c>
      <c r="D11" s="6" t="s">
        <v>7</v>
      </c>
      <c r="F11" s="18">
        <v>0.01</v>
      </c>
      <c r="G11" s="13">
        <f>Temp(L,b,w,k,Ta,G$10,Tw,$F11)</f>
        <v>597.6665737609253</v>
      </c>
      <c r="H11" s="13">
        <f>Temp(L,b,w,k,Ta,H$10,Tw,$F11)</f>
        <v>598.78213410872149</v>
      </c>
      <c r="I11" s="19">
        <f>Temp(L,b,w,k,Ta,I$10,Tw,$F11)</f>
        <v>599.1759120755238</v>
      </c>
    </row>
    <row r="12" spans="1:9" ht="15.75" x14ac:dyDescent="0.25">
      <c r="A12" s="11" t="s">
        <v>12</v>
      </c>
      <c r="B12" s="5" t="s">
        <v>13</v>
      </c>
      <c r="C12" s="4">
        <v>100</v>
      </c>
      <c r="D12" s="6" t="s">
        <v>14</v>
      </c>
      <c r="F12" s="18">
        <v>0.02</v>
      </c>
      <c r="G12" s="13">
        <f>Temp(L,b,w,k,Ta,G$10,Tw,$F12)</f>
        <v>595.41884928588274</v>
      </c>
      <c r="H12" s="13">
        <f>Temp(L,b,w,k,Ta,H$10,Tw,$F12)</f>
        <v>597.60729070498746</v>
      </c>
      <c r="I12" s="19">
        <f>Temp(L,b,w,k,Ta,I$10,Tw,$F12)</f>
        <v>598.38054619894547</v>
      </c>
    </row>
    <row r="13" spans="1:9" ht="18.75" x14ac:dyDescent="0.25">
      <c r="A13" s="11" t="s">
        <v>15</v>
      </c>
      <c r="B13" s="5" t="s">
        <v>16</v>
      </c>
      <c r="C13" s="4">
        <v>320</v>
      </c>
      <c r="D13" s="6" t="s">
        <v>17</v>
      </c>
      <c r="F13" s="18">
        <v>0.03</v>
      </c>
      <c r="G13" s="13">
        <f>Temp(L,b,w,k,Ta,G$10,Tw,$F13)</f>
        <v>593.25613281490723</v>
      </c>
      <c r="H13" s="13">
        <f>Temp(L,b,w,k,Ta,H$10,Tw,$F13)</f>
        <v>596.47528848347179</v>
      </c>
      <c r="I13" s="19">
        <f>Temp(L,b,w,k,Ta,I$10,Tw,$F13)</f>
        <v>597.6138205417983</v>
      </c>
    </row>
    <row r="14" spans="1:9" ht="18" x14ac:dyDescent="0.25">
      <c r="A14" s="11" t="s">
        <v>18</v>
      </c>
      <c r="B14" s="5" t="s">
        <v>19</v>
      </c>
      <c r="C14" s="4">
        <v>40</v>
      </c>
      <c r="D14" s="6" t="s">
        <v>20</v>
      </c>
      <c r="F14" s="18">
        <v>0.04</v>
      </c>
      <c r="G14" s="13">
        <f>Temp(L,b,w,k,Ta,G$10,Tw,$F14)</f>
        <v>591.17775682574643</v>
      </c>
      <c r="H14" s="13">
        <f>Temp(L,b,w,k,Ta,H$10,Tw,$F14)</f>
        <v>595.38595275022726</v>
      </c>
      <c r="I14" s="19">
        <f>Temp(L,b,w,k,Ta,I$10,Tw,$F14)</f>
        <v>596.87565622216584</v>
      </c>
    </row>
    <row r="15" spans="1:9" ht="19.5" thickBot="1" x14ac:dyDescent="0.3">
      <c r="A15" s="12" t="s">
        <v>21</v>
      </c>
      <c r="B15" s="8" t="s">
        <v>22</v>
      </c>
      <c r="C15" s="7">
        <v>600</v>
      </c>
      <c r="D15" s="9" t="s">
        <v>17</v>
      </c>
      <c r="F15" s="18">
        <v>0.05</v>
      </c>
      <c r="G15" s="13">
        <f>Temp(L,b,w,k,Ta,G$10,Tw,$F15)</f>
        <v>589.18307982783085</v>
      </c>
      <c r="H15" s="13">
        <f>Temp(L,b,w,k,Ta,H$10,Tw,$F15)</f>
        <v>594.33911539572591</v>
      </c>
      <c r="I15" s="19">
        <f>Temp(L,b,w,k,Ta,I$10,Tw,$F15)</f>
        <v>596.16597729656542</v>
      </c>
    </row>
    <row r="16" spans="1:9" x14ac:dyDescent="0.25">
      <c r="A16" s="13"/>
      <c r="F16" s="18">
        <v>0.06</v>
      </c>
      <c r="G16" s="13">
        <f>Temp(L,b,w,k,Ta,G$10,Tw,$F16)</f>
        <v>587.27148616427689</v>
      </c>
      <c r="H16" s="13">
        <f>Temp(L,b,w,k,Ta,H$10,Tw,$F16)</f>
        <v>593.33461486891542</v>
      </c>
      <c r="I16" s="19">
        <f>Temp(L,b,w,k,Ta,I$10,Tw,$F16)</f>
        <v>595.48471075213615</v>
      </c>
    </row>
    <row r="17" spans="1:9" x14ac:dyDescent="0.25">
      <c r="A17" s="13"/>
      <c r="F17" s="18">
        <v>7.0000000000000007E-2</v>
      </c>
      <c r="G17" s="13">
        <f>Temp(L,b,w,k,Ta,G$10,Tw,$F17)</f>
        <v>585.44238582186551</v>
      </c>
      <c r="H17" s="13">
        <f>Temp(L,b,w,k,Ta,H$10,Tw,$F17)</f>
        <v>592.37229615228887</v>
      </c>
      <c r="I17" s="19">
        <f>Temp(L,b,w,k,Ta,I$10,Tw,$F17)</f>
        <v>594.83178649912634</v>
      </c>
    </row>
    <row r="18" spans="1:9" x14ac:dyDescent="0.25">
      <c r="A18" s="13"/>
      <c r="F18" s="18">
        <v>0.08</v>
      </c>
      <c r="G18" s="13">
        <f>Temp(L,b,w,k,Ta,G$10,Tw,$F18)</f>
        <v>583.69521424893378</v>
      </c>
      <c r="H18" s="13">
        <f>Temp(L,b,w,k,Ta,H$10,Tw,$F18)</f>
        <v>591.45201073796193</v>
      </c>
      <c r="I18" s="19">
        <f>Temp(L,b,w,k,Ta,I$10,Tw,$F18)</f>
        <v>594.20713736368305</v>
      </c>
    </row>
    <row r="19" spans="1:9" x14ac:dyDescent="0.25">
      <c r="F19" s="18">
        <v>0.09</v>
      </c>
      <c r="G19" s="13">
        <f>Temp(L,b,w,k,Ta,G$10,Tw,$F19)</f>
        <v>582.02943218112637</v>
      </c>
      <c r="H19" s="13">
        <f>Temp(L,b,w,k,Ta,H$10,Tw,$F19)</f>
        <v>590.57361660475385</v>
      </c>
      <c r="I19" s="19">
        <f>Temp(L,b,w,k,Ta,I$10,Tw,$F19)</f>
        <v>593.610699080941</v>
      </c>
    </row>
    <row r="20" spans="1:9" x14ac:dyDescent="0.25">
      <c r="F20" s="18">
        <v>0.1</v>
      </c>
      <c r="G20" s="13">
        <f>Temp(L,b,w,k,Ta,G$10,Tw,$F20)</f>
        <v>580.44452547495189</v>
      </c>
      <c r="H20" s="13">
        <f>Temp(L,b,w,k,Ta,H$10,Tw,$F20)</f>
        <v>589.73697819627137</v>
      </c>
      <c r="I20" s="19">
        <f>Temp(L,b,w,k,Ta,I$10,Tw,$F20)</f>
        <v>593.04241028841091</v>
      </c>
    </row>
    <row r="21" spans="1:9" x14ac:dyDescent="0.25">
      <c r="F21" s="18">
        <v>0.11</v>
      </c>
      <c r="G21" s="13">
        <f>Temp(L,b,w,k,Ta,G$10,Tw,$F21)</f>
        <v>578.9400049490921</v>
      </c>
      <c r="H21" s="13">
        <f>Temp(L,b,w,k,Ta,H$10,Tw,$F21)</f>
        <v>588.94196639998859</v>
      </c>
      <c r="I21" s="19">
        <f>Temp(L,b,w,k,Ta,I$10,Tw,$F21)</f>
        <v>592.50221251966627</v>
      </c>
    </row>
    <row r="22" spans="1:9" x14ac:dyDescent="0.25">
      <c r="F22" s="18">
        <v>0.12</v>
      </c>
      <c r="G22" s="13">
        <f>Temp(L,b,w,k,Ta,G$10,Tw,$F22)</f>
        <v>577.5154062334168</v>
      </c>
      <c r="H22" s="13">
        <f>Temp(L,b,w,k,Ta,H$10,Tw,$F22)</f>
        <v>588.18845852732215</v>
      </c>
      <c r="I22" s="19">
        <f>Temp(L,b,w,k,Ta,I$10,Tw,$F22)</f>
        <v>591.9900501983285</v>
      </c>
    </row>
    <row r="23" spans="1:9" x14ac:dyDescent="0.25">
      <c r="F23" s="18">
        <v>0.13</v>
      </c>
      <c r="G23" s="13">
        <f>Temp(L,b,w,k,Ta,G$10,Tw,$F23)</f>
        <v>576.17028962565496</v>
      </c>
      <c r="H23" s="13">
        <f>Temp(L,b,w,k,Ta,H$10,Tw,$F23)</f>
        <v>587.47633829469737</v>
      </c>
      <c r="I23" s="19">
        <f>Temp(L,b,w,k,Ta,I$10,Tw,$F23)</f>
        <v>591.50587063234912</v>
      </c>
    </row>
    <row r="24" spans="1:9" x14ac:dyDescent="0.25">
      <c r="F24" s="18">
        <v>0.14000000000000001</v>
      </c>
      <c r="G24" s="13">
        <f>Temp(L,b,w,k,Ta,G$10,Tw,$F24)</f>
        <v>574.90423995568187</v>
      </c>
      <c r="H24" s="13">
        <f>Temp(L,b,w,k,Ta,H$10,Tw,$F24)</f>
        <v>586.80549580560364</v>
      </c>
      <c r="I24" s="19">
        <f>Temp(L,b,w,k,Ta,I$10,Tw,$F24)</f>
        <v>591.04962400858835</v>
      </c>
    </row>
    <row r="25" spans="1:9" x14ac:dyDescent="0.25">
      <c r="F25" s="18">
        <v>0.15</v>
      </c>
      <c r="G25" s="13">
        <f>Temp(L,b,w,k,Ta,G$10,Tw,$F25)</f>
        <v>573.71686645737623</v>
      </c>
      <c r="H25" s="13">
        <f>Temp(L,b,w,k,Ta,H$10,Tw,$F25)</f>
        <v>586.17582753363376</v>
      </c>
      <c r="I25" s="19">
        <f>Temp(L,b,w,k,Ta,I$10,Tw,$F25)</f>
        <v>590.62126338769076</v>
      </c>
    </row>
    <row r="26" spans="1:9" x14ac:dyDescent="0.25">
      <c r="F26" s="18">
        <v>0.16</v>
      </c>
      <c r="G26" s="13">
        <f>Temp(L,b,w,k,Ta,G$10,Tw,$F26)</f>
        <v>572.60780264800997</v>
      </c>
      <c r="H26" s="13">
        <f>Temp(L,b,w,k,Ta,H$10,Tw,$F26)</f>
        <v>585.58723630650888</v>
      </c>
      <c r="I26" s="19">
        <f>Temp(L,b,w,k,Ta,I$10,Tw,$F26)</f>
        <v>590.22074469925587</v>
      </c>
    </row>
    <row r="27" spans="1:9" x14ac:dyDescent="0.25">
      <c r="F27" s="18">
        <v>0.17</v>
      </c>
      <c r="G27" s="13">
        <f>Temp(L,b,w,k,Ta,G$10,Tw,$F27)</f>
        <v>571.57670621513432</v>
      </c>
      <c r="H27" s="13">
        <f>Temp(L,b,w,k,Ta,H$10,Tw,$F27)</f>
        <v>585.03963129108104</v>
      </c>
      <c r="I27" s="19">
        <f>Temp(L,b,w,k,Ta,I$10,Tw,$F27)</f>
        <v>589.84802673730383</v>
      </c>
    </row>
    <row r="28" spans="1:9" x14ac:dyDescent="0.25">
      <c r="F28" s="18">
        <v>0.18</v>
      </c>
      <c r="G28" s="13">
        <f>Temp(L,b,w,k,Ta,G$10,Tw,$F28)</f>
        <v>570.62325891092405</v>
      </c>
      <c r="H28" s="13">
        <f>Temp(L,b,w,k,Ta,H$10,Tw,$F28)</f>
        <v>584.53292797931681</v>
      </c>
      <c r="I28" s="19">
        <f>Temp(L,b,w,k,Ta,I$10,Tw,$F28)</f>
        <v>589.50307115603664</v>
      </c>
    </row>
    <row r="29" spans="1:9" x14ac:dyDescent="0.25">
      <c r="F29" s="18">
        <v>0.19</v>
      </c>
      <c r="G29" s="13">
        <f>Temp(L,b,w,k,Ta,G$10,Tw,$F29)</f>
        <v>569.74716645395097</v>
      </c>
      <c r="H29" s="13">
        <f>Temp(L,b,w,k,Ta,H$10,Tw,$F29)</f>
        <v>584.0670481752552</v>
      </c>
      <c r="I29" s="19">
        <f>Temp(L,b,w,k,Ta,I$10,Tw,$F29)</f>
        <v>589.18584246589296</v>
      </c>
    </row>
    <row r="30" spans="1:9" x14ac:dyDescent="0.25">
      <c r="F30" s="18">
        <v>0.2</v>
      </c>
      <c r="G30" s="13">
        <f>Temp(L,b,w,k,Ta,G$10,Tw,$F30)</f>
        <v>568.94815843835397</v>
      </c>
      <c r="H30" s="13">
        <f>Temp(L,b,w,k,Ta,H$10,Tw,$F30)</f>
        <v>583.64191998293984</v>
      </c>
      <c r="I30" s="19">
        <f>Temp(L,b,w,k,Ta,I$10,Tw,$F30)</f>
        <v>588.89630802989609</v>
      </c>
    </row>
    <row r="31" spans="1:9" x14ac:dyDescent="0.25">
      <c r="F31" s="18">
        <v>0.21</v>
      </c>
      <c r="G31" s="13">
        <f>Temp(L,b,w,k,Ta,G$10,Tw,$F31)</f>
        <v>568.22598825037801</v>
      </c>
      <c r="H31" s="13">
        <f>Temp(L,b,w,k,Ta,H$10,Tw,$F31)</f>
        <v>583.25747779532469</v>
      </c>
      <c r="I31" s="19">
        <f>Temp(L,b,w,k,Ta,I$10,Tw,$F31)</f>
        <v>588.6344380602975</v>
      </c>
    </row>
    <row r="32" spans="1:9" x14ac:dyDescent="0.25">
      <c r="F32" s="18">
        <v>0.22</v>
      </c>
      <c r="G32" s="13">
        <f>Temp(L,b,w,k,Ta,G$10,Tw,$F32)</f>
        <v>567.58043299225665</v>
      </c>
      <c r="H32" s="13">
        <f>Temp(L,b,w,k,Ta,H$10,Tw,$F32)</f>
        <v>582.9136622841487</v>
      </c>
      <c r="I32" s="19">
        <f>Temp(L,b,w,k,Ta,I$10,Tw,$F32)</f>
        <v>588.40020561551103</v>
      </c>
    </row>
    <row r="33" spans="6:9" x14ac:dyDescent="0.25">
      <c r="F33" s="18">
        <v>0.23</v>
      </c>
      <c r="G33" s="13">
        <f>Temp(L,b,w,k,Ta,G$10,Tw,$F33)</f>
        <v>567.01129341341527</v>
      </c>
      <c r="H33" s="13">
        <f>Temp(L,b,w,k,Ta,H$10,Tw,$F33)</f>
        <v>582.61042039078029</v>
      </c>
      <c r="I33" s="19">
        <f>Temp(L,b,w,k,Ta,I$10,Tw,$F33)</f>
        <v>588.19358659734235</v>
      </c>
    </row>
    <row r="34" spans="6:9" x14ac:dyDescent="0.25">
      <c r="F34" s="18">
        <v>0.24</v>
      </c>
      <c r="G34" s="13">
        <f>Temp(L,b,w,k,Ta,G$10,Tw,$F34)</f>
        <v>566.5183938489721</v>
      </c>
      <c r="H34" s="13">
        <f>Temp(L,b,w,k,Ta,H$10,Tw,$F34)</f>
        <v>582.34770531802906</v>
      </c>
      <c r="I34" s="19">
        <f>Temp(L,b,w,k,Ta,I$10,Tw,$F34)</f>
        <v>588.01455974850819</v>
      </c>
    </row>
    <row r="35" spans="6:9" x14ac:dyDescent="0.25">
      <c r="F35" s="18">
        <v>0.25</v>
      </c>
      <c r="G35" s="13">
        <f>Temp(L,b,w,k,Ta,G$10,Tw,$F35)</f>
        <v>566.10158216551895</v>
      </c>
      <c r="H35" s="13">
        <f>Temp(L,b,w,k,Ta,H$10,Tw,$F35)</f>
        <v>582.12547652292415</v>
      </c>
      <c r="I35" s="19">
        <f>Temp(L,b,w,k,Ta,I$10,Tw,$F35)</f>
        <v>587.86310665045062</v>
      </c>
    </row>
    <row r="36" spans="6:9" x14ac:dyDescent="0.25">
      <c r="F36" s="18">
        <v>0.26</v>
      </c>
      <c r="G36" s="13">
        <f>Temp(L,b,w,k,Ta,G$10,Tw,$F36)</f>
        <v>565.76072971416579</v>
      </c>
      <c r="H36" s="13">
        <f>Temp(L,b,w,k,Ta,H$10,Tw,$F36)</f>
        <v>581.94369971045751</v>
      </c>
      <c r="I36" s="19">
        <f>Temp(L,b,w,k,Ta,I$10,Tw,$F36)</f>
        <v>587.73921172144185</v>
      </c>
    </row>
    <row r="37" spans="6:9" x14ac:dyDescent="0.25">
      <c r="F37" s="18">
        <v>0.27</v>
      </c>
      <c r="G37" s="13">
        <f>Temp(L,b,w,k,Ta,G$10,Tw,$F37)</f>
        <v>565.49573129083296</v>
      </c>
      <c r="H37" s="13">
        <f>Temp(L,b,w,k,Ta,H$10,Tw,$F37)</f>
        <v>581.80234682829109</v>
      </c>
      <c r="I37" s="19">
        <f>Temp(L,b,w,k,Ta,I$10,Tw,$F37)</f>
        <v>587.64286221498048</v>
      </c>
    </row>
    <row r="38" spans="6:9" x14ac:dyDescent="0.25">
      <c r="F38" s="18">
        <v>0.28000000000000003</v>
      </c>
      <c r="G38" s="13">
        <f>Temp(L,b,w,k,Ta,G$10,Tw,$F38)</f>
        <v>565.30650510377973</v>
      </c>
      <c r="H38" s="13">
        <f>Temp(L,b,w,k,Ta,H$10,Tw,$F38)</f>
        <v>581.70139606242788</v>
      </c>
      <c r="I38" s="19">
        <f>Temp(L,b,w,k,Ta,I$10,Tw,$F38)</f>
        <v>587.57404821848104</v>
      </c>
    </row>
    <row r="39" spans="6:9" x14ac:dyDescent="0.25">
      <c r="F39" s="18">
        <v>0.28999999999999998</v>
      </c>
      <c r="G39" s="13">
        <f>Temp(L,b,w,k,Ta,G$10,Tw,$F39)</f>
        <v>565.19299274835998</v>
      </c>
      <c r="H39" s="13">
        <f>Temp(L,b,w,k,Ta,H$10,Tw,$F39)</f>
        <v>581.64083183384582</v>
      </c>
      <c r="I39" s="19">
        <f>Temp(L,b,w,k,Ta,I$10,Tw,$F39)</f>
        <v>587.53276265225338</v>
      </c>
    </row>
    <row r="40" spans="6:9" x14ac:dyDescent="0.25">
      <c r="F40" s="20">
        <v>0.3</v>
      </c>
      <c r="G40" s="21">
        <f>Temp(L,b,w,k,Ta,G$10,Tw,$F40)</f>
        <v>565.15515918899507</v>
      </c>
      <c r="H40" s="21">
        <f>Temp(L,b,w,k,Ta,H$10,Tw,$F40)</f>
        <v>581.62064479609307</v>
      </c>
      <c r="I40" s="22">
        <f>Temp(L,b,w,k,Ta,I$10,Tw,$F40)</f>
        <v>587.5190012687749</v>
      </c>
    </row>
  </sheetData>
  <mergeCells count="1">
    <mergeCell ref="A3:G8"/>
  </mergeCells>
  <pageMargins left="0.25" right="0.25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5"/>
  <sheetViews>
    <sheetView tabSelected="1" workbookViewId="0">
      <selection activeCell="C14" sqref="C14"/>
    </sheetView>
  </sheetViews>
  <sheetFormatPr defaultRowHeight="15" x14ac:dyDescent="0.25"/>
  <sheetData>
    <row r="1" spans="1:7" x14ac:dyDescent="0.25">
      <c r="A1" t="s">
        <v>0</v>
      </c>
      <c r="D1" t="s">
        <v>1</v>
      </c>
      <c r="F1" t="s">
        <v>26</v>
      </c>
      <c r="G1" t="s">
        <v>27</v>
      </c>
    </row>
    <row r="3" spans="1:7" x14ac:dyDescent="0.25">
      <c r="A3" s="32" t="s">
        <v>28</v>
      </c>
      <c r="B3" s="33"/>
      <c r="C3" s="33"/>
      <c r="D3" s="33"/>
      <c r="E3" s="33"/>
      <c r="F3" s="33"/>
      <c r="G3" s="34"/>
    </row>
    <row r="4" spans="1:7" x14ac:dyDescent="0.25">
      <c r="A4" s="35"/>
      <c r="B4" s="36"/>
      <c r="C4" s="36"/>
      <c r="D4" s="36"/>
      <c r="E4" s="36"/>
      <c r="F4" s="36"/>
      <c r="G4" s="37"/>
    </row>
    <row r="5" spans="1:7" x14ac:dyDescent="0.25">
      <c r="A5" s="35"/>
      <c r="B5" s="36"/>
      <c r="C5" s="36"/>
      <c r="D5" s="36"/>
      <c r="E5" s="36"/>
      <c r="F5" s="36"/>
      <c r="G5" s="37"/>
    </row>
    <row r="6" spans="1:7" x14ac:dyDescent="0.25">
      <c r="A6" s="35"/>
      <c r="B6" s="36"/>
      <c r="C6" s="36"/>
      <c r="D6" s="36"/>
      <c r="E6" s="36"/>
      <c r="F6" s="36"/>
      <c r="G6" s="37"/>
    </row>
    <row r="7" spans="1:7" x14ac:dyDescent="0.25">
      <c r="A7" s="35"/>
      <c r="B7" s="36"/>
      <c r="C7" s="36"/>
      <c r="D7" s="36"/>
      <c r="E7" s="36"/>
      <c r="F7" s="36"/>
      <c r="G7" s="37"/>
    </row>
    <row r="8" spans="1:7" x14ac:dyDescent="0.25">
      <c r="A8" s="38"/>
      <c r="B8" s="39"/>
      <c r="C8" s="39"/>
      <c r="D8" s="39"/>
      <c r="E8" s="39"/>
      <c r="F8" s="39"/>
      <c r="G8" s="40"/>
    </row>
    <row r="10" spans="1:7" x14ac:dyDescent="0.25">
      <c r="A10" s="41" t="s">
        <v>29</v>
      </c>
      <c r="B10" s="16" t="s">
        <v>30</v>
      </c>
      <c r="C10" s="16" t="s">
        <v>31</v>
      </c>
      <c r="D10" s="17" t="s">
        <v>32</v>
      </c>
    </row>
    <row r="11" spans="1:7" x14ac:dyDescent="0.25">
      <c r="A11" s="42"/>
      <c r="B11" s="21">
        <v>2</v>
      </c>
      <c r="C11" s="21">
        <v>-6</v>
      </c>
      <c r="D11" s="22">
        <v>5</v>
      </c>
    </row>
    <row r="12" spans="1:7" x14ac:dyDescent="0.25">
      <c r="B12" t="s">
        <v>33</v>
      </c>
    </row>
    <row r="13" spans="1:7" x14ac:dyDescent="0.25">
      <c r="A13" s="13"/>
      <c r="B13" t="s">
        <v>34</v>
      </c>
      <c r="C13" t="s">
        <v>37</v>
      </c>
    </row>
    <row r="14" spans="1:7" x14ac:dyDescent="0.25">
      <c r="A14" s="19" t="s">
        <v>35</v>
      </c>
      <c r="B14">
        <v>1.5</v>
      </c>
      <c r="C14" s="19">
        <v>0.5</v>
      </c>
    </row>
    <row r="15" spans="1:7" x14ac:dyDescent="0.25">
      <c r="A15" t="s">
        <v>36</v>
      </c>
      <c r="B15" s="43">
        <v>1.5</v>
      </c>
      <c r="C15" s="19">
        <v>-0.5</v>
      </c>
    </row>
  </sheetData>
  <mergeCells count="1">
    <mergeCell ref="A3:G8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7</vt:i4>
      </vt:variant>
    </vt:vector>
  </HeadingPairs>
  <TitlesOfParts>
    <vt:vector size="10" baseType="lpstr">
      <vt:lpstr>Sheet1</vt:lpstr>
      <vt:lpstr>Sheet2</vt:lpstr>
      <vt:lpstr>Chart1.1</vt:lpstr>
      <vt:lpstr>b</vt:lpstr>
      <vt:lpstr>h</vt:lpstr>
      <vt:lpstr>k</vt:lpstr>
      <vt:lpstr>L</vt:lpstr>
      <vt:lpstr>Ta</vt:lpstr>
      <vt:lpstr>Tw</vt:lpstr>
      <vt:lpstr>w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CLAIR CUNNINGHAM (RIT Student)</dc:creator>
  <cp:lastModifiedBy>CLAIR CUNNINGHAM (RIT Student)</cp:lastModifiedBy>
  <cp:lastPrinted>2012-04-17T18:46:56Z</cp:lastPrinted>
  <dcterms:created xsi:type="dcterms:W3CDTF">2012-04-17T15:59:50Z</dcterms:created>
  <dcterms:modified xsi:type="dcterms:W3CDTF">2012-04-17T18:48:34Z</dcterms:modified>
</cp:coreProperties>
</file>