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90" windowWidth="13395" windowHeight="12525" activeTab="5"/>
  </bookViews>
  <sheets>
    <sheet name="Sheet1" sheetId="1" r:id="rId1"/>
    <sheet name="Sheet2" sheetId="2" r:id="rId2"/>
    <sheet name="Sheet3" sheetId="4" r:id="rId3"/>
    <sheet name="Sheet4" sheetId="5" r:id="rId4"/>
    <sheet name="Sheet5" sheetId="6" r:id="rId5"/>
    <sheet name="Sheet6" sheetId="7" r:id="rId6"/>
    <sheet name="Sheet7" sheetId="8" r:id="rId7"/>
  </sheets>
  <functionGroups builtInGroupCount="17"/>
  <definedNames>
    <definedName name="Cdo">Sheet3!$G$15</definedName>
    <definedName name="Cdp">Sheet3!$G$16</definedName>
    <definedName name="m">Sheet3!$G$13</definedName>
    <definedName name="tc">Sheet3!$G$14</definedName>
    <definedName name="Vo">Sheet3!$G$12</definedName>
  </definedNames>
  <calcPr calcId="145621"/>
</workbook>
</file>

<file path=xl/calcChain.xml><?xml version="1.0" encoding="utf-8"?>
<calcChain xmlns="http://schemas.openxmlformats.org/spreadsheetml/2006/main">
  <c r="C23" i="7" l="1"/>
  <c r="C25" i="7"/>
  <c r="C24" i="7"/>
  <c r="C22" i="7"/>
  <c r="C21" i="7"/>
  <c r="C20" i="7"/>
  <c r="C18" i="7"/>
  <c r="C16" i="7"/>
  <c r="C14" i="7"/>
  <c r="C27" i="7"/>
  <c r="C26" i="7"/>
  <c r="C19" i="7"/>
  <c r="C17" i="7"/>
  <c r="C15" i="7"/>
  <c r="C13" i="7"/>
  <c r="C12" i="7"/>
  <c r="C11" i="7"/>
  <c r="C13" i="2" l="1"/>
  <c r="C14" i="2"/>
  <c r="C15" i="2"/>
  <c r="C16" i="2"/>
  <c r="C17" i="2"/>
  <c r="C18" i="2"/>
  <c r="C19" i="2"/>
  <c r="C20" i="2"/>
  <c r="C21" i="2"/>
  <c r="C22" i="2"/>
  <c r="C23" i="2"/>
  <c r="C24" i="2"/>
  <c r="C25" i="2"/>
  <c r="C12" i="2"/>
  <c r="D22" i="2"/>
  <c r="C10" i="5"/>
  <c r="D39" i="4"/>
  <c r="D32" i="4"/>
  <c r="D31" i="4"/>
  <c r="D33" i="4"/>
  <c r="D45" i="4"/>
  <c r="D16" i="2"/>
  <c r="C19" i="5"/>
  <c r="C18" i="5"/>
  <c r="D50" i="4"/>
  <c r="C13" i="5"/>
  <c r="D13" i="2"/>
  <c r="D26" i="4"/>
  <c r="D18" i="2"/>
  <c r="D17" i="2"/>
  <c r="C12" i="5"/>
  <c r="D35" i="4"/>
  <c r="D20" i="2"/>
  <c r="D28" i="4"/>
  <c r="C17" i="5"/>
  <c r="D38" i="4"/>
  <c r="D21" i="2"/>
  <c r="D34" i="4"/>
  <c r="D40" i="4"/>
  <c r="D25" i="2"/>
  <c r="D41" i="4"/>
  <c r="D25" i="4"/>
  <c r="D19" i="2"/>
  <c r="D42" i="4"/>
  <c r="D15" i="2"/>
  <c r="D49" i="4"/>
  <c r="D24" i="4"/>
  <c r="D30" i="4"/>
  <c r="D23" i="4"/>
  <c r="D24" i="2"/>
  <c r="C11" i="5"/>
  <c r="D23" i="2"/>
  <c r="D29" i="4"/>
  <c r="D22" i="4"/>
  <c r="D48" i="4"/>
  <c r="D21" i="4"/>
  <c r="D12" i="2"/>
  <c r="D44" i="4"/>
  <c r="D43" i="4"/>
  <c r="D14" i="2"/>
  <c r="D47" i="4"/>
  <c r="D20" i="4"/>
  <c r="D36" i="4"/>
  <c r="C16" i="5"/>
  <c r="D27" i="4"/>
  <c r="D46" i="4"/>
  <c r="C15" i="5"/>
  <c r="C14" i="5"/>
  <c r="D37" i="4"/>
</calcChain>
</file>

<file path=xl/sharedStrings.xml><?xml version="1.0" encoding="utf-8"?>
<sst xmlns="http://schemas.openxmlformats.org/spreadsheetml/2006/main" count="76" uniqueCount="56">
  <si>
    <t>PSWC-01</t>
  </si>
  <si>
    <t>Week5</t>
  </si>
  <si>
    <t>In-Class #1</t>
  </si>
  <si>
    <t>A) Record a macro to format a Cell to be Arial, bold, font size 15 pt. and italics.</t>
  </si>
  <si>
    <t>B) Record a macro to format a number to be expressed in scientific notation with 3 decimal places.</t>
  </si>
  <si>
    <t>A)</t>
  </si>
  <si>
    <t>Bold Arial 15</t>
  </si>
  <si>
    <t>B)</t>
  </si>
  <si>
    <t>C)</t>
  </si>
  <si>
    <t>In-Class #2</t>
  </si>
  <si>
    <t>C) Write a program to count the number of rows and columns in the matrix starting in cell B12. Record a macro to help you.</t>
  </si>
  <si>
    <t>x</t>
  </si>
  <si>
    <t>Excel</t>
  </si>
  <si>
    <t>VBA</t>
  </si>
  <si>
    <t>fun_52(x)</t>
  </si>
  <si>
    <t>Repeat the problem we did in Excel using If-Then-Else decision statements in VBA
For the values of x shown in the table , evaluate  the function fun_52(x) using a VBA function
fun_52(x) = 1  if x ≥ 0
fun_52(x) = 0  if x &lt; 0</t>
  </si>
  <si>
    <t>Clair Cunningham</t>
  </si>
  <si>
    <t>In-Class #3</t>
  </si>
  <si>
    <t>Starting Velocity</t>
  </si>
  <si>
    <r>
      <t>V</t>
    </r>
    <r>
      <rPr>
        <vertAlign val="subscript"/>
        <sz val="11"/>
        <color theme="1"/>
        <rFont val="Calibri"/>
        <family val="2"/>
        <scheme val="minor"/>
      </rPr>
      <t>o</t>
    </r>
  </si>
  <si>
    <t>m/s</t>
  </si>
  <si>
    <t>Skydiver's Mass</t>
  </si>
  <si>
    <t>m</t>
  </si>
  <si>
    <t>kg</t>
  </si>
  <si>
    <t>Parachute Deployment Time</t>
  </si>
  <si>
    <r>
      <t>t</t>
    </r>
    <r>
      <rPr>
        <vertAlign val="subscript"/>
        <sz val="11"/>
        <color theme="1"/>
        <rFont val="Calibri"/>
        <family val="2"/>
        <scheme val="minor"/>
      </rPr>
      <t>c</t>
    </r>
  </si>
  <si>
    <t>s</t>
  </si>
  <si>
    <t>Drag Paramter</t>
  </si>
  <si>
    <t>Free-fall</t>
  </si>
  <si>
    <r>
      <t>C</t>
    </r>
    <r>
      <rPr>
        <vertAlign val="subscript"/>
        <sz val="11"/>
        <color theme="1"/>
        <rFont val="Calibri"/>
        <family val="2"/>
        <scheme val="minor"/>
      </rPr>
      <t>do</t>
    </r>
  </si>
  <si>
    <t>kg/s</t>
  </si>
  <si>
    <t>Parachute Deployed</t>
  </si>
  <si>
    <r>
      <t>C</t>
    </r>
    <r>
      <rPr>
        <vertAlign val="subscript"/>
        <sz val="11"/>
        <color theme="1"/>
        <rFont val="Calibri"/>
        <family val="2"/>
        <scheme val="minor"/>
      </rPr>
      <t>dp</t>
    </r>
  </si>
  <si>
    <t>Time</t>
  </si>
  <si>
    <t>Velocity</t>
  </si>
  <si>
    <t>t (s)</t>
  </si>
  <si>
    <t>V (m/s)</t>
  </si>
  <si>
    <t>In-Class #4</t>
  </si>
  <si>
    <r>
      <t xml:space="preserve">Write a VBA Function to evaluate the function fun_53(x) shown below for the values given in the table.
fun_54(x) = 2 x            when 0 </t>
    </r>
    <r>
      <rPr>
        <sz val="11"/>
        <color theme="1"/>
        <rFont val="Symbol"/>
        <family val="1"/>
        <charset val="2"/>
      </rPr>
      <t>£</t>
    </r>
    <r>
      <rPr>
        <sz val="11"/>
        <color theme="1"/>
        <rFont val="Calibri"/>
        <family val="2"/>
      </rPr>
      <t xml:space="preserve"> x </t>
    </r>
    <r>
      <rPr>
        <sz val="11"/>
        <color theme="1"/>
        <rFont val="Symbol"/>
        <family val="1"/>
        <charset val="2"/>
      </rPr>
      <t>£</t>
    </r>
    <r>
      <rPr>
        <sz val="11"/>
        <color theme="1"/>
        <rFont val="Calibri"/>
        <family val="2"/>
      </rPr>
      <t xml:space="preserve"> 3
fun_54(x) = (x - 3)2 +6          when 3 &lt; x </t>
    </r>
    <r>
      <rPr>
        <sz val="11"/>
        <color theme="1"/>
        <rFont val="Symbol"/>
        <family val="1"/>
        <charset val="2"/>
      </rPr>
      <t>£</t>
    </r>
    <r>
      <rPr>
        <sz val="11"/>
        <color theme="1"/>
        <rFont val="Calibri"/>
        <family val="2"/>
      </rPr>
      <t xml:space="preserve"> 10
If x is not between 0 and 10, display the message "Out of Range" in the cell.</t>
    </r>
  </si>
  <si>
    <t>fun_54(x)</t>
  </si>
  <si>
    <t>In-Class #5</t>
  </si>
  <si>
    <t>Write a VBA Sub procedure that reads gets a number from the user and displays the square root of that number, also indicating whether or not the square root is an imaginary number.</t>
  </si>
  <si>
    <t>In-Class #6</t>
  </si>
  <si>
    <t>Repeat the grading problem we did in Excel usign the built-in IF function by writing a VBA Function instead.</t>
  </si>
  <si>
    <r>
      <t xml:space="preserve">Score </t>
    </r>
    <r>
      <rPr>
        <sz val="11"/>
        <color theme="1"/>
        <rFont val="Symbol"/>
        <family val="1"/>
        <charset val="2"/>
      </rPr>
      <t>³</t>
    </r>
    <r>
      <rPr>
        <sz val="11"/>
        <color theme="1"/>
        <rFont val="Calibri"/>
        <family val="2"/>
      </rPr>
      <t xml:space="preserve"> 90 = "A"
80 </t>
    </r>
    <r>
      <rPr>
        <sz val="11"/>
        <color theme="1"/>
        <rFont val="Symbol"/>
        <family val="1"/>
        <charset val="2"/>
      </rPr>
      <t xml:space="preserve">£ </t>
    </r>
    <r>
      <rPr>
        <sz val="11"/>
        <color theme="1"/>
        <rFont val="Calibri"/>
        <family val="2"/>
      </rPr>
      <t xml:space="preserve">Score &lt; 90 = "B"
70 </t>
    </r>
    <r>
      <rPr>
        <sz val="11"/>
        <color theme="1"/>
        <rFont val="Symbol"/>
        <family val="1"/>
        <charset val="2"/>
      </rPr>
      <t>£</t>
    </r>
    <r>
      <rPr>
        <sz val="11"/>
        <color theme="1"/>
        <rFont val="Calibri"/>
        <family val="2"/>
      </rPr>
      <t xml:space="preserve"> Score &lt; 80 = "C"
60 </t>
    </r>
    <r>
      <rPr>
        <sz val="11"/>
        <color theme="1"/>
        <rFont val="Symbol"/>
        <family val="1"/>
        <charset val="2"/>
      </rPr>
      <t>£</t>
    </r>
    <r>
      <rPr>
        <sz val="11"/>
        <color theme="1"/>
        <rFont val="Calibri"/>
        <family val="2"/>
      </rPr>
      <t xml:space="preserve"> Score &lt; 70 = "D"
Score &lt; 60 = "F"</t>
    </r>
  </si>
  <si>
    <t>Score</t>
  </si>
  <si>
    <t>Grade</t>
  </si>
  <si>
    <t>In-Class #7 (BONUS)</t>
  </si>
  <si>
    <t>Write a VBA Sub procedure to convert angles in degrees or radians to the opposite unit and identify which quadrant the angle falls within.
Get user input for the angle’s value and the units.
Make sure your If statement(s) can handle a user error.
Write the angle in both units and the angle’s quadrant to the spreadsheet.</t>
  </si>
  <si>
    <t>Angle</t>
  </si>
  <si>
    <t>degrees</t>
  </si>
  <si>
    <t>radians</t>
  </si>
  <si>
    <t>Quadrant</t>
  </si>
  <si>
    <t>The velocity of a skydiver can be described by the following equation:
The skydiver is initially in free-fall and deploys his parachute at some time, tc.
Write a VBA Function that uses the parameters given on the Excel worksheet to calculate the skydiver’s velocity vs. time. Plot the skydiver’s velocity vs. time.</t>
  </si>
  <si>
    <t>#</t>
  </si>
  <si>
    <t xml:space="preserve">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</si>
</sst>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E+00"/>
  </numFmts>
  <fonts count="8" x14ac:knownFonts="1">
    <font>
      <sz val="11"/>
      <color theme="1"/>
      <name val="Calibri"/>
      <family val="2"/>
      <scheme val="minor"/>
    </font>
    <font>
      <sz val="11"/>
      <color rgb="FF404040"/>
      <name val="Calibri"/>
      <family val="2"/>
      <scheme val="minor"/>
    </font>
    <font>
      <sz val="11"/>
      <color rgb="FF000000"/>
      <name val="Calibri"/>
      <family val="2"/>
    </font>
    <font>
      <b/>
      <i/>
      <sz val="15"/>
      <color theme="1"/>
      <name val="Arial"/>
      <family val="2"/>
    </font>
    <font>
      <vertAlign val="subscript"/>
      <sz val="11"/>
      <color theme="1"/>
      <name val="Calibri"/>
      <family val="2"/>
      <scheme val="minor"/>
    </font>
    <font>
      <sz val="11"/>
      <color theme="1"/>
      <name val="Symbol"/>
      <family val="1"/>
      <charset val="2"/>
    </font>
    <font>
      <sz val="11"/>
      <color theme="1"/>
      <name val="Calibri"/>
      <family val="2"/>
    </font>
    <font>
      <sz val="48"/>
      <color rgb="FF000000"/>
      <name val="Calibri"/>
      <family val="2"/>
    </font>
  </fonts>
  <fills count="11">
    <fill>
      <patternFill patternType="none"/>
    </fill>
    <fill>
      <patternFill patternType="gray125"/>
    </fill>
    <fill>
      <patternFill patternType="solid">
        <fgColor theme="6" tint="0.79998168889431442"/>
        <bgColor indexed="64"/>
      </patternFill>
    </fill>
    <fill>
      <patternFill patternType="solid">
        <fgColor theme="7" tint="0.59999389629810485"/>
        <bgColor indexed="64"/>
      </patternFill>
    </fill>
    <fill>
      <patternFill patternType="solid">
        <fgColor rgb="FFCCC0DA"/>
        <bgColor indexed="64"/>
      </patternFill>
    </fill>
    <fill>
      <patternFill patternType="solid">
        <fgColor rgb="FFFCD5B4"/>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2" tint="-0.249977111117893"/>
        <bgColor indexed="64"/>
      </patternFill>
    </fill>
    <fill>
      <patternFill patternType="solid">
        <fgColor theme="9" tint="0.79998168889431442"/>
        <bgColor indexed="64"/>
      </patternFill>
    </fill>
    <fill>
      <patternFill patternType="solid">
        <fgColor theme="5" tint="0.79998168889431442"/>
        <bgColor indexed="64"/>
      </patternFill>
    </fill>
  </fills>
  <borders count="1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s>
  <cellStyleXfs count="1">
    <xf numFmtId="0" fontId="0" fillId="0" borderId="0"/>
  </cellStyleXfs>
  <cellXfs count="51">
    <xf numFmtId="0" fontId="0" fillId="0" borderId="0" xfId="0"/>
    <xf numFmtId="0" fontId="0" fillId="0" borderId="0" xfId="0" applyFont="1"/>
    <xf numFmtId="0" fontId="1" fillId="0" borderId="0" xfId="0" applyFont="1" applyAlignment="1">
      <alignment horizontal="left" vertical="center" indent="1" readingOrder="1"/>
    </xf>
    <xf numFmtId="0" fontId="1" fillId="2" borderId="1" xfId="0" applyFont="1" applyFill="1" applyBorder="1" applyAlignment="1">
      <alignment horizontal="left" vertical="center" indent="1" readingOrder="1"/>
    </xf>
    <xf numFmtId="0" fontId="0" fillId="2" borderId="2" xfId="0" applyFont="1" applyFill="1" applyBorder="1"/>
    <xf numFmtId="0" fontId="0" fillId="2" borderId="3" xfId="0" applyFont="1" applyFill="1" applyBorder="1"/>
    <xf numFmtId="0" fontId="1" fillId="2" borderId="4" xfId="0" applyFont="1" applyFill="1" applyBorder="1" applyAlignment="1">
      <alignment horizontal="left" vertical="center" indent="1" readingOrder="1"/>
    </xf>
    <xf numFmtId="0" fontId="0" fillId="2" borderId="0" xfId="0" applyFont="1" applyFill="1" applyBorder="1"/>
    <xf numFmtId="0" fontId="0" fillId="2" borderId="5" xfId="0" applyFont="1" applyFill="1" applyBorder="1"/>
    <xf numFmtId="0" fontId="1" fillId="2" borderId="6" xfId="0" applyFont="1" applyFill="1" applyBorder="1" applyAlignment="1">
      <alignment horizontal="left" vertical="center" indent="1" readingOrder="1"/>
    </xf>
    <xf numFmtId="0" fontId="0" fillId="2" borderId="7" xfId="0" applyFont="1" applyFill="1" applyBorder="1"/>
    <xf numFmtId="0" fontId="0" fillId="2" borderId="8" xfId="0" applyFont="1" applyFill="1" applyBorder="1"/>
    <xf numFmtId="0" fontId="2" fillId="4" borderId="9" xfId="0" applyFont="1" applyFill="1" applyBorder="1" applyAlignment="1">
      <alignment horizontal="center" wrapText="1" readingOrder="1"/>
    </xf>
    <xf numFmtId="0" fontId="2" fillId="5" borderId="9" xfId="0" applyFont="1" applyFill="1" applyBorder="1" applyAlignment="1">
      <alignment horizontal="center" wrapText="1" readingOrder="1"/>
    </xf>
    <xf numFmtId="0" fontId="3" fillId="0" borderId="0" xfId="0" applyFont="1"/>
    <xf numFmtId="164" fontId="0" fillId="0" borderId="0" xfId="0" applyNumberFormat="1"/>
    <xf numFmtId="0" fontId="0" fillId="0" borderId="2" xfId="0" applyBorder="1" applyAlignment="1">
      <alignment horizontal="right"/>
    </xf>
    <xf numFmtId="0" fontId="0" fillId="0" borderId="2" xfId="0" applyBorder="1"/>
    <xf numFmtId="0" fontId="0" fillId="0" borderId="0" xfId="0" applyBorder="1" applyAlignment="1">
      <alignment horizontal="right"/>
    </xf>
    <xf numFmtId="0" fontId="0" fillId="0" borderId="0" xfId="0" applyBorder="1"/>
    <xf numFmtId="0" fontId="0" fillId="0" borderId="0" xfId="0" applyFill="1" applyBorder="1"/>
    <xf numFmtId="0" fontId="0" fillId="0" borderId="7" xfId="0" applyBorder="1" applyAlignment="1">
      <alignment horizontal="right"/>
    </xf>
    <xf numFmtId="0" fontId="0" fillId="0" borderId="7" xfId="0" applyBorder="1"/>
    <xf numFmtId="0" fontId="0" fillId="0" borderId="2" xfId="0" applyBorder="1" applyAlignment="1">
      <alignment horizontal="center"/>
    </xf>
    <xf numFmtId="0" fontId="0" fillId="0" borderId="7" xfId="0" applyBorder="1" applyAlignment="1">
      <alignment horizontal="center"/>
    </xf>
    <xf numFmtId="0" fontId="2" fillId="8" borderId="9" xfId="0" applyFont="1" applyFill="1" applyBorder="1" applyAlignment="1">
      <alignment horizontal="center" wrapText="1" readingOrder="1"/>
    </xf>
    <xf numFmtId="0" fontId="2" fillId="9" borderId="9" xfId="0" applyFont="1" applyFill="1" applyBorder="1" applyAlignment="1">
      <alignment horizontal="center" wrapText="1" readingOrder="1"/>
    </xf>
    <xf numFmtId="0" fontId="0" fillId="0" borderId="13" xfId="0" applyBorder="1" applyAlignment="1">
      <alignment horizontal="right"/>
    </xf>
    <xf numFmtId="0" fontId="0" fillId="0" borderId="13" xfId="0" applyBorder="1"/>
    <xf numFmtId="0" fontId="0" fillId="3" borderId="0" xfId="0" applyFill="1" applyAlignment="1">
      <alignment horizontal="center" vertical="center" wrapText="1"/>
    </xf>
    <xf numFmtId="0" fontId="2" fillId="4" borderId="10" xfId="0" applyFont="1" applyFill="1" applyBorder="1" applyAlignment="1">
      <alignment horizontal="center" wrapText="1" readingOrder="1"/>
    </xf>
    <xf numFmtId="0" fontId="2" fillId="4" borderId="11" xfId="0" applyFont="1" applyFill="1" applyBorder="1" applyAlignment="1">
      <alignment horizontal="center" wrapText="1" readingOrder="1"/>
    </xf>
    <xf numFmtId="0" fontId="0" fillId="6" borderId="0" xfId="0" applyFill="1" applyAlignment="1">
      <alignment horizontal="center" vertical="center" wrapText="1"/>
    </xf>
    <xf numFmtId="0" fontId="0" fillId="0" borderId="2" xfId="0" applyBorder="1" applyAlignment="1">
      <alignment horizontal="right"/>
    </xf>
    <xf numFmtId="0" fontId="0" fillId="0" borderId="0" xfId="0" applyBorder="1" applyAlignment="1">
      <alignment horizontal="right"/>
    </xf>
    <xf numFmtId="0" fontId="0" fillId="0" borderId="0" xfId="0" applyBorder="1" applyAlignment="1">
      <alignment horizontal="right" vertical="center"/>
    </xf>
    <xf numFmtId="0" fontId="0" fillId="0" borderId="7" xfId="0" applyBorder="1" applyAlignment="1">
      <alignment horizontal="right" vertical="center"/>
    </xf>
    <xf numFmtId="0" fontId="0" fillId="0" borderId="7" xfId="0" applyBorder="1" applyAlignment="1">
      <alignment horizontal="right"/>
    </xf>
    <xf numFmtId="0" fontId="0" fillId="3" borderId="1" xfId="0" applyFill="1" applyBorder="1" applyAlignment="1">
      <alignment horizontal="center" vertical="center" wrapText="1"/>
    </xf>
    <xf numFmtId="0" fontId="0" fillId="3" borderId="2" xfId="0" applyFill="1" applyBorder="1" applyAlignment="1">
      <alignment horizontal="center" vertical="center" wrapText="1"/>
    </xf>
    <xf numFmtId="0" fontId="0" fillId="3" borderId="3" xfId="0" applyFill="1" applyBorder="1" applyAlignment="1">
      <alignment horizontal="center" vertical="center" wrapText="1"/>
    </xf>
    <xf numFmtId="0" fontId="0" fillId="3" borderId="4" xfId="0" applyFill="1" applyBorder="1" applyAlignment="1">
      <alignment horizontal="center" vertical="center" wrapText="1"/>
    </xf>
    <xf numFmtId="0" fontId="0" fillId="3" borderId="0" xfId="0" applyFill="1" applyBorder="1" applyAlignment="1">
      <alignment horizontal="center" vertical="center" wrapText="1"/>
    </xf>
    <xf numFmtId="0" fontId="0" fillId="3" borderId="5" xfId="0" applyFill="1" applyBorder="1" applyAlignment="1">
      <alignment horizontal="center" vertical="center" wrapText="1"/>
    </xf>
    <xf numFmtId="0" fontId="0" fillId="3" borderId="6" xfId="0" applyFill="1" applyBorder="1" applyAlignment="1">
      <alignment horizontal="center" vertical="center" wrapText="1"/>
    </xf>
    <xf numFmtId="0" fontId="0" fillId="3" borderId="7" xfId="0" applyFill="1" applyBorder="1" applyAlignment="1">
      <alignment horizontal="center" vertical="center" wrapText="1"/>
    </xf>
    <xf numFmtId="0" fontId="0" fillId="3" borderId="8" xfId="0" applyFill="1" applyBorder="1" applyAlignment="1">
      <alignment horizontal="center" vertical="center" wrapText="1"/>
    </xf>
    <xf numFmtId="0" fontId="0" fillId="7" borderId="0" xfId="0" applyFill="1" applyAlignment="1">
      <alignment horizontal="center" vertical="center" wrapText="1"/>
    </xf>
    <xf numFmtId="0" fontId="0" fillId="8" borderId="12" xfId="0" applyFill="1" applyBorder="1" applyAlignment="1">
      <alignment horizontal="center" vertical="center" wrapText="1"/>
    </xf>
    <xf numFmtId="0" fontId="0" fillId="10" borderId="0" xfId="0" applyFill="1" applyAlignment="1">
      <alignment horizontal="center" vertical="center" wrapText="1"/>
    </xf>
    <xf numFmtId="0" fontId="0" fillId="0" borderId="13" xfId="0" applyBorder="1" applyAlignment="1">
      <alignment horizontal="righ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Skydiver Velocity</a:t>
            </a:r>
          </a:p>
        </c:rich>
      </c:tx>
      <c:overlay val="0"/>
    </c:title>
    <c:autoTitleDeleted val="0"/>
    <c:plotArea>
      <c:layout/>
      <c:scatterChart>
        <c:scatterStyle val="lineMarker"/>
        <c:varyColors val="0"/>
        <c:ser>
          <c:idx val="0"/>
          <c:order val="0"/>
          <c:tx>
            <c:strRef>
              <c:f>Sheet3!$D$18:$D$19</c:f>
              <c:strCache>
                <c:ptCount val="1"/>
                <c:pt idx="0">
                  <c:v>Velocity V (m/s)</c:v>
                </c:pt>
              </c:strCache>
            </c:strRef>
          </c:tx>
          <c:xVal>
            <c:numRef>
              <c:f>Sheet3!$C$20:$C$50</c:f>
              <c:numCache>
                <c:formatCode>General</c:formatCode>
                <c:ptCount val="31"/>
                <c:pt idx="0">
                  <c:v>0</c:v>
                </c:pt>
                <c:pt idx="1">
                  <c:v>0.5</c:v>
                </c:pt>
                <c:pt idx="2">
                  <c:v>1</c:v>
                </c:pt>
                <c:pt idx="3">
                  <c:v>1.5</c:v>
                </c:pt>
                <c:pt idx="4">
                  <c:v>2</c:v>
                </c:pt>
                <c:pt idx="5">
                  <c:v>2.5</c:v>
                </c:pt>
                <c:pt idx="6">
                  <c:v>3</c:v>
                </c:pt>
                <c:pt idx="7">
                  <c:v>3.5</c:v>
                </c:pt>
                <c:pt idx="8">
                  <c:v>4</c:v>
                </c:pt>
                <c:pt idx="9">
                  <c:v>4.5</c:v>
                </c:pt>
                <c:pt idx="10">
                  <c:v>5</c:v>
                </c:pt>
                <c:pt idx="11">
                  <c:v>5.5</c:v>
                </c:pt>
                <c:pt idx="12">
                  <c:v>6</c:v>
                </c:pt>
                <c:pt idx="13">
                  <c:v>6.5</c:v>
                </c:pt>
                <c:pt idx="14">
                  <c:v>7</c:v>
                </c:pt>
                <c:pt idx="15">
                  <c:v>7.5</c:v>
                </c:pt>
                <c:pt idx="16">
                  <c:v>8</c:v>
                </c:pt>
                <c:pt idx="17">
                  <c:v>8.5</c:v>
                </c:pt>
                <c:pt idx="18">
                  <c:v>9</c:v>
                </c:pt>
                <c:pt idx="19">
                  <c:v>9.5</c:v>
                </c:pt>
                <c:pt idx="20">
                  <c:v>10</c:v>
                </c:pt>
                <c:pt idx="21">
                  <c:v>10.5</c:v>
                </c:pt>
                <c:pt idx="22">
                  <c:v>11</c:v>
                </c:pt>
                <c:pt idx="23">
                  <c:v>11.5</c:v>
                </c:pt>
                <c:pt idx="24">
                  <c:v>12</c:v>
                </c:pt>
                <c:pt idx="25">
                  <c:v>12.5</c:v>
                </c:pt>
                <c:pt idx="26">
                  <c:v>13</c:v>
                </c:pt>
                <c:pt idx="27">
                  <c:v>13.5</c:v>
                </c:pt>
                <c:pt idx="28">
                  <c:v>14</c:v>
                </c:pt>
                <c:pt idx="29">
                  <c:v>14.5</c:v>
                </c:pt>
                <c:pt idx="30">
                  <c:v>15</c:v>
                </c:pt>
              </c:numCache>
            </c:numRef>
          </c:xVal>
          <c:yVal>
            <c:numRef>
              <c:f>Sheet3!$D$20:$D$50</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0"/>
        </c:ser>
        <c:dLbls>
          <c:showLegendKey val="0"/>
          <c:showVal val="0"/>
          <c:showCatName val="0"/>
          <c:showSerName val="0"/>
          <c:showPercent val="0"/>
          <c:showBubbleSize val="0"/>
        </c:dLbls>
        <c:axId val="132937920"/>
        <c:axId val="132938496"/>
      </c:scatterChart>
      <c:valAx>
        <c:axId val="132937920"/>
        <c:scaling>
          <c:orientation val="minMax"/>
        </c:scaling>
        <c:delete val="0"/>
        <c:axPos val="b"/>
        <c:majorGridlines/>
        <c:title>
          <c:tx>
            <c:rich>
              <a:bodyPr/>
              <a:lstStyle/>
              <a:p>
                <a:pPr>
                  <a:defRPr/>
                </a:pPr>
                <a:r>
                  <a:rPr lang="en-US"/>
                  <a:t>Time (sec)</a:t>
                </a:r>
              </a:p>
            </c:rich>
          </c:tx>
          <c:overlay val="0"/>
        </c:title>
        <c:numFmt formatCode="General" sourceLinked="1"/>
        <c:majorTickMark val="out"/>
        <c:minorTickMark val="none"/>
        <c:tickLblPos val="nextTo"/>
        <c:crossAx val="132938496"/>
        <c:crosses val="autoZero"/>
        <c:crossBetween val="midCat"/>
      </c:valAx>
      <c:valAx>
        <c:axId val="132938496"/>
        <c:scaling>
          <c:orientation val="minMax"/>
        </c:scaling>
        <c:delete val="0"/>
        <c:axPos val="l"/>
        <c:majorGridlines/>
        <c:title>
          <c:tx>
            <c:rich>
              <a:bodyPr rot="-5400000" vert="horz"/>
              <a:lstStyle/>
              <a:p>
                <a:pPr>
                  <a:defRPr/>
                </a:pPr>
                <a:r>
                  <a:rPr lang="en-US"/>
                  <a:t>Velocity (m/s)</a:t>
                </a:r>
              </a:p>
            </c:rich>
          </c:tx>
          <c:overlay val="0"/>
        </c:title>
        <c:numFmt formatCode="General" sourceLinked="1"/>
        <c:majorTickMark val="out"/>
        <c:minorTickMark val="none"/>
        <c:tickLblPos val="nextTo"/>
        <c:crossAx val="132937920"/>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9525</xdr:colOff>
          <xdr:row>13</xdr:row>
          <xdr:rowOff>57150</xdr:rowOff>
        </xdr:from>
        <xdr:to>
          <xdr:col>8</xdr:col>
          <xdr:colOff>514350</xdr:colOff>
          <xdr:row>15</xdr:row>
          <xdr:rowOff>133350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Counts Rows and Columns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9</xdr:row>
          <xdr:rowOff>9525</xdr:rowOff>
        </xdr:from>
        <xdr:to>
          <xdr:col>5</xdr:col>
          <xdr:colOff>361950</xdr:colOff>
          <xdr:row>10</xdr:row>
          <xdr:rowOff>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Sets Scientific Notation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6</xdr:row>
          <xdr:rowOff>180975</xdr:rowOff>
        </xdr:from>
        <xdr:to>
          <xdr:col>5</xdr:col>
          <xdr:colOff>581025</xdr:colOff>
          <xdr:row>7</xdr:row>
          <xdr:rowOff>238125</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Formats Font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62055</xdr:colOff>
      <xdr:row>3</xdr:row>
      <xdr:rowOff>180975</xdr:rowOff>
    </xdr:from>
    <xdr:to>
      <xdr:col>6</xdr:col>
      <xdr:colOff>428625</xdr:colOff>
      <xdr:row>6</xdr:row>
      <xdr:rowOff>39914</xdr:rowOff>
    </xdr:to>
    <mc:AlternateContent xmlns:mc="http://schemas.openxmlformats.org/markup-compatibility/2006" xmlns:a14="http://schemas.microsoft.com/office/drawing/2010/main">
      <mc:Choice Requires="a14">
        <xdr:sp macro="" textlink="">
          <xdr:nvSpPr>
            <xdr:cNvPr id="2" name="TextBox 4"/>
            <xdr:cNvSpPr txBox="1"/>
          </xdr:nvSpPr>
          <xdr:spPr>
            <a:xfrm>
              <a:off x="1281255" y="752475"/>
              <a:ext cx="2804970" cy="430439"/>
            </a:xfrm>
            <a:prstGeom prst="rect">
              <a:avLst/>
            </a:prstGeom>
            <a:noFill/>
          </xdr:spPr>
          <xdr:txBody>
            <a:bodyPr wrap="square" rtlCol="0">
              <a:spAutoFit/>
            </a:bodyP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14:m>
                <m:oMathPara xmlns:m="http://schemas.openxmlformats.org/officeDocument/2006/math">
                  <m:oMathParaPr>
                    <m:jc m:val="centerGroup"/>
                  </m:oMathParaPr>
                  <m:oMath xmlns:m="http://schemas.openxmlformats.org/officeDocument/2006/math">
                    <m:r>
                      <a:rPr lang="en-US" sz="1100" b="0" i="1">
                        <a:latin typeface="Cambria Math"/>
                      </a:rPr>
                      <m:t>𝑉</m:t>
                    </m:r>
                    <m:d>
                      <m:dPr>
                        <m:ctrlPr>
                          <a:rPr lang="en-US" sz="1100" b="0" i="1">
                            <a:latin typeface="Cambria Math"/>
                          </a:rPr>
                        </m:ctrlPr>
                      </m:dPr>
                      <m:e>
                        <m:r>
                          <a:rPr lang="en-US" sz="1100" b="0" i="1">
                            <a:latin typeface="Cambria Math"/>
                          </a:rPr>
                          <m:t>𝑡</m:t>
                        </m:r>
                      </m:e>
                    </m:d>
                    <m:r>
                      <a:rPr lang="en-US" sz="1100" b="0" i="1">
                        <a:latin typeface="Cambria Math"/>
                      </a:rPr>
                      <m:t>=</m:t>
                    </m:r>
                    <m:sSub>
                      <m:sSubPr>
                        <m:ctrlPr>
                          <a:rPr lang="en-US" sz="1100" b="0" i="1">
                            <a:latin typeface="Cambria Math"/>
                          </a:rPr>
                        </m:ctrlPr>
                      </m:sSubPr>
                      <m:e>
                        <m:r>
                          <a:rPr lang="en-US" sz="1100" b="0" i="1">
                            <a:latin typeface="Cambria Math"/>
                          </a:rPr>
                          <m:t>𝑉</m:t>
                        </m:r>
                      </m:e>
                      <m:sub>
                        <m:r>
                          <a:rPr lang="en-US" sz="1100" b="0" i="1">
                            <a:latin typeface="Cambria Math"/>
                          </a:rPr>
                          <m:t>𝑜</m:t>
                        </m:r>
                      </m:sub>
                    </m:sSub>
                    <m:r>
                      <a:rPr lang="en-US" sz="1100" b="0" i="1">
                        <a:latin typeface="Cambria Math"/>
                      </a:rPr>
                      <m:t> </m:t>
                    </m:r>
                    <m:sSup>
                      <m:sSupPr>
                        <m:ctrlPr>
                          <a:rPr lang="en-US" sz="1100" b="0" i="1">
                            <a:latin typeface="Cambria Math"/>
                          </a:rPr>
                        </m:ctrlPr>
                      </m:sSupPr>
                      <m:e>
                        <m:r>
                          <a:rPr lang="en-US" sz="1100" b="0" i="1">
                            <a:latin typeface="Cambria Math"/>
                          </a:rPr>
                          <m:t>𝑒</m:t>
                        </m:r>
                      </m:e>
                      <m:sup>
                        <m:r>
                          <a:rPr lang="en-US" sz="1100" b="0" i="1">
                            <a:latin typeface="Cambria Math"/>
                          </a:rPr>
                          <m:t>−</m:t>
                        </m:r>
                        <m:d>
                          <m:dPr>
                            <m:ctrlPr>
                              <a:rPr lang="en-US" sz="1100" b="0" i="1">
                                <a:latin typeface="Cambria Math"/>
                              </a:rPr>
                            </m:ctrlPr>
                          </m:dPr>
                          <m:e>
                            <m:f>
                              <m:fPr>
                                <m:type m:val="skw"/>
                                <m:ctrlPr>
                                  <a:rPr lang="en-US" sz="1100" b="0" i="1">
                                    <a:latin typeface="Cambria Math"/>
                                  </a:rPr>
                                </m:ctrlPr>
                              </m:fPr>
                              <m:num>
                                <m:sSub>
                                  <m:sSubPr>
                                    <m:ctrlPr>
                                      <a:rPr lang="en-US" sz="1100" b="0" i="1">
                                        <a:latin typeface="Cambria Math"/>
                                      </a:rPr>
                                    </m:ctrlPr>
                                  </m:sSubPr>
                                  <m:e>
                                    <m:r>
                                      <a:rPr lang="en-US" sz="1100" b="0" i="1">
                                        <a:latin typeface="Cambria Math"/>
                                      </a:rPr>
                                      <m:t>𝐶</m:t>
                                    </m:r>
                                  </m:e>
                                  <m:sub>
                                    <m:r>
                                      <a:rPr lang="en-US" sz="1100" b="0" i="1">
                                        <a:latin typeface="Cambria Math"/>
                                      </a:rPr>
                                      <m:t>𝑑</m:t>
                                    </m:r>
                                  </m:sub>
                                </m:sSub>
                                <m:r>
                                  <a:rPr lang="en-US" sz="1100" b="0" i="1">
                                    <a:latin typeface="Cambria Math"/>
                                  </a:rPr>
                                  <m:t>𝑡</m:t>
                                </m:r>
                              </m:num>
                              <m:den>
                                <m:r>
                                  <a:rPr lang="en-US" sz="1100" b="0" i="1">
                                    <a:latin typeface="Cambria Math"/>
                                  </a:rPr>
                                  <m:t>𝑚</m:t>
                                </m:r>
                              </m:den>
                            </m:f>
                          </m:e>
                        </m:d>
                      </m:sup>
                    </m:sSup>
                    <m:r>
                      <a:rPr lang="en-US" sz="1100" b="0" i="1">
                        <a:latin typeface="Cambria Math"/>
                      </a:rPr>
                      <m:t>+</m:t>
                    </m:r>
                    <m:f>
                      <m:fPr>
                        <m:ctrlPr>
                          <a:rPr lang="en-US" sz="1100" b="0" i="1">
                            <a:latin typeface="Cambria Math"/>
                          </a:rPr>
                        </m:ctrlPr>
                      </m:fPr>
                      <m:num>
                        <m:r>
                          <a:rPr lang="en-US" sz="1100" b="0" i="1">
                            <a:latin typeface="Cambria Math"/>
                          </a:rPr>
                          <m:t>𝑚𝑔</m:t>
                        </m:r>
                      </m:num>
                      <m:den>
                        <m:sSub>
                          <m:sSubPr>
                            <m:ctrlPr>
                              <a:rPr lang="en-US" sz="1100" b="0" i="1">
                                <a:latin typeface="Cambria Math"/>
                              </a:rPr>
                            </m:ctrlPr>
                          </m:sSubPr>
                          <m:e>
                            <m:r>
                              <a:rPr lang="en-US" sz="1100" b="0" i="1">
                                <a:latin typeface="Cambria Math"/>
                              </a:rPr>
                              <m:t>𝐶</m:t>
                            </m:r>
                          </m:e>
                          <m:sub>
                            <m:r>
                              <a:rPr lang="en-US" sz="1100" b="0" i="1">
                                <a:latin typeface="Cambria Math"/>
                              </a:rPr>
                              <m:t>𝑑</m:t>
                            </m:r>
                          </m:sub>
                        </m:sSub>
                      </m:den>
                    </m:f>
                    <m:d>
                      <m:dPr>
                        <m:ctrlPr>
                          <a:rPr lang="en-US" sz="1100" b="0" i="1">
                            <a:latin typeface="Cambria Math"/>
                          </a:rPr>
                        </m:ctrlPr>
                      </m:dPr>
                      <m:e>
                        <m:r>
                          <a:rPr lang="en-US" sz="1100" b="0" i="1">
                            <a:latin typeface="Cambria Math"/>
                          </a:rPr>
                          <m:t>1−</m:t>
                        </m:r>
                        <m:sSup>
                          <m:sSupPr>
                            <m:ctrlPr>
                              <a:rPr lang="en-US" sz="1100" b="0" i="1">
                                <a:latin typeface="Cambria Math"/>
                              </a:rPr>
                            </m:ctrlPr>
                          </m:sSupPr>
                          <m:e>
                            <m:r>
                              <a:rPr lang="en-US" sz="1100" b="0" i="1">
                                <a:latin typeface="Cambria Math"/>
                              </a:rPr>
                              <m:t>𝑒</m:t>
                            </m:r>
                          </m:e>
                          <m:sup>
                            <m:r>
                              <a:rPr lang="en-US" sz="1100" b="0" i="1">
                                <a:latin typeface="Cambria Math"/>
                              </a:rPr>
                              <m:t>−</m:t>
                            </m:r>
                            <m:d>
                              <m:dPr>
                                <m:ctrlPr>
                                  <a:rPr lang="en-US" sz="1100" b="0" i="1">
                                    <a:latin typeface="Cambria Math"/>
                                  </a:rPr>
                                </m:ctrlPr>
                              </m:dPr>
                              <m:e>
                                <m:f>
                                  <m:fPr>
                                    <m:type m:val="skw"/>
                                    <m:ctrlPr>
                                      <a:rPr lang="en-US" sz="1100" i="1">
                                        <a:latin typeface="Cambria Math"/>
                                      </a:rPr>
                                    </m:ctrlPr>
                                  </m:fPr>
                                  <m:num>
                                    <m:sSub>
                                      <m:sSubPr>
                                        <m:ctrlPr>
                                          <a:rPr lang="en-US" sz="1100" i="1">
                                            <a:latin typeface="Cambria Math"/>
                                          </a:rPr>
                                        </m:ctrlPr>
                                      </m:sSubPr>
                                      <m:e>
                                        <m:r>
                                          <a:rPr lang="en-US" sz="1100" i="1">
                                            <a:latin typeface="Cambria Math"/>
                                          </a:rPr>
                                          <m:t>𝐶</m:t>
                                        </m:r>
                                      </m:e>
                                      <m:sub>
                                        <m:r>
                                          <a:rPr lang="en-US" sz="1100" i="1">
                                            <a:latin typeface="Cambria Math"/>
                                          </a:rPr>
                                          <m:t>𝑑</m:t>
                                        </m:r>
                                      </m:sub>
                                    </m:sSub>
                                    <m:r>
                                      <a:rPr lang="en-US" sz="1100" i="1">
                                        <a:latin typeface="Cambria Math"/>
                                      </a:rPr>
                                      <m:t>𝑡</m:t>
                                    </m:r>
                                  </m:num>
                                  <m:den>
                                    <m:r>
                                      <a:rPr lang="en-US" sz="1100" i="1">
                                        <a:latin typeface="Cambria Math"/>
                                      </a:rPr>
                                      <m:t>𝑚</m:t>
                                    </m:r>
                                  </m:den>
                                </m:f>
                              </m:e>
                            </m:d>
                          </m:sup>
                        </m:sSup>
                      </m:e>
                    </m:d>
                  </m:oMath>
                </m:oMathPara>
              </a14:m>
              <a:endParaRPr lang="en-US" sz="1100"/>
            </a:p>
          </xdr:txBody>
        </xdr:sp>
      </mc:Choice>
      <mc:Fallback xmlns="">
        <xdr:sp macro="" textlink="">
          <xdr:nvSpPr>
            <xdr:cNvPr id="2" name="TextBox 4"/>
            <xdr:cNvSpPr txBox="1"/>
          </xdr:nvSpPr>
          <xdr:spPr>
            <a:xfrm>
              <a:off x="1281255" y="752475"/>
              <a:ext cx="2804970" cy="430439"/>
            </a:xfrm>
            <a:prstGeom prst="rect">
              <a:avLst/>
            </a:prstGeom>
            <a:noFill/>
          </xdr:spPr>
          <xdr:txBody>
            <a:bodyPr wrap="square" rtlCol="0">
              <a:spAutoFit/>
            </a:bodyPr>
            <a:lstStyle>
              <a:defPPr>
                <a:defRPr lang="en-US"/>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r>
                <a:rPr lang="en-US" sz="1100" b="0" i="0">
                  <a:latin typeface="Cambria Math"/>
                </a:rPr>
                <a:t>𝑉(𝑡)=𝑉_𝑜  𝑒^(−((𝐶_𝑑 𝑡)⁄𝑚) )+𝑚𝑔/𝐶_𝑑  (1−𝑒^(−((</a:t>
              </a:r>
              <a:r>
                <a:rPr lang="en-US" sz="1100" i="0">
                  <a:latin typeface="Cambria Math"/>
                </a:rPr>
                <a:t>𝐶_𝑑 𝑡)⁄𝑚) </a:t>
              </a:r>
              <a:r>
                <a:rPr lang="en-US" sz="1100" b="0" i="0">
                  <a:latin typeface="Cambria Math"/>
                </a:rPr>
                <a:t>) )</a:t>
              </a:r>
              <a:endParaRPr lang="en-US" sz="1100"/>
            </a:p>
          </xdr:txBody>
        </xdr:sp>
      </mc:Fallback>
    </mc:AlternateContent>
    <xdr:clientData/>
  </xdr:twoCellAnchor>
  <xdr:twoCellAnchor>
    <xdr:from>
      <xdr:col>4</xdr:col>
      <xdr:colOff>152399</xdr:colOff>
      <xdr:row>16</xdr:row>
      <xdr:rowOff>95250</xdr:rowOff>
    </xdr:from>
    <xdr:to>
      <xdr:col>13</xdr:col>
      <xdr:colOff>257174</xdr:colOff>
      <xdr:row>40</xdr:row>
      <xdr:rowOff>104775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8</xdr:row>
          <xdr:rowOff>19050</xdr:rowOff>
        </xdr:from>
        <xdr:to>
          <xdr:col>7</xdr:col>
          <xdr:colOff>590550</xdr:colOff>
          <xdr:row>20</xdr:row>
          <xdr:rowOff>133350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82296" tIns="86868" rIns="82296" bIns="86868" anchor="ctr" upright="1"/>
            <a:lstStyle/>
            <a:p>
              <a:pPr algn="ctr" rtl="0">
                <a:defRPr sz="1000"/>
              </a:pPr>
              <a:r>
                <a:rPr lang="en-US" sz="4800" b="0" i="0" u="none" strike="noStrike" baseline="0">
                  <a:solidFill>
                    <a:srgbClr val="000000"/>
                  </a:solidFill>
                  <a:latin typeface="Calibri"/>
                  <a:cs typeface="Calibri"/>
                </a:rPr>
                <a:t>PUSH ME I DARE YOU!</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28"/>
  <sheetViews>
    <sheetView workbookViewId="0"/>
  </sheetViews>
  <sheetFormatPr defaultRowHeight="15" x14ac:dyDescent="0.25"/>
  <cols>
    <col min="2" max="2" width="10.28515625" customWidth="1"/>
  </cols>
  <sheetData>
    <row r="1" spans="1:12" x14ac:dyDescent="0.25">
      <c r="A1" t="s">
        <v>16</v>
      </c>
      <c r="D1" t="s">
        <v>0</v>
      </c>
      <c r="G1" t="s">
        <v>1</v>
      </c>
      <c r="H1" t="s">
        <v>2</v>
      </c>
    </row>
    <row r="3" spans="1:12" s="1" customFormat="1" x14ac:dyDescent="0.25">
      <c r="A3" s="3" t="s">
        <v>3</v>
      </c>
      <c r="B3" s="4"/>
      <c r="C3" s="4"/>
      <c r="D3" s="4"/>
      <c r="E3" s="4"/>
      <c r="F3" s="4"/>
      <c r="G3" s="4"/>
      <c r="H3" s="4"/>
      <c r="I3" s="4"/>
      <c r="J3" s="4"/>
      <c r="K3" s="4"/>
      <c r="L3" s="5"/>
    </row>
    <row r="4" spans="1:12" s="1" customFormat="1" x14ac:dyDescent="0.25">
      <c r="A4" s="6" t="s">
        <v>4</v>
      </c>
      <c r="B4" s="7"/>
      <c r="C4" s="7"/>
      <c r="D4" s="7"/>
      <c r="E4" s="7"/>
      <c r="F4" s="7"/>
      <c r="G4" s="7"/>
      <c r="H4" s="7"/>
      <c r="I4" s="7"/>
      <c r="J4" s="7"/>
      <c r="K4" s="7"/>
      <c r="L4" s="8"/>
    </row>
    <row r="5" spans="1:12" s="1" customFormat="1" x14ac:dyDescent="0.25">
      <c r="A5" s="9" t="s">
        <v>10</v>
      </c>
      <c r="B5" s="10"/>
      <c r="C5" s="10"/>
      <c r="D5" s="10"/>
      <c r="E5" s="10"/>
      <c r="F5" s="10"/>
      <c r="G5" s="10"/>
      <c r="H5" s="10"/>
      <c r="I5" s="10"/>
      <c r="J5" s="10"/>
      <c r="K5" s="10"/>
      <c r="L5" s="11"/>
    </row>
    <row r="8" spans="1:12" ht="19.5" x14ac:dyDescent="0.3">
      <c r="A8" s="2" t="s">
        <v>5</v>
      </c>
      <c r="B8" s="14" t="s">
        <v>6</v>
      </c>
    </row>
    <row r="10" spans="1:12" ht="19.5" x14ac:dyDescent="0.3">
      <c r="A10" s="2" t="s">
        <v>7</v>
      </c>
      <c r="B10" s="15">
        <v>123456</v>
      </c>
      <c r="G10" s="14"/>
    </row>
    <row r="12" spans="1:12" x14ac:dyDescent="0.25">
      <c r="A12" s="2" t="s">
        <v>8</v>
      </c>
      <c r="B12">
        <v>15</v>
      </c>
      <c r="C12">
        <v>2</v>
      </c>
      <c r="D12">
        <v>14</v>
      </c>
      <c r="E12">
        <v>17</v>
      </c>
      <c r="F12">
        <v>8</v>
      </c>
    </row>
    <row r="13" spans="1:12" x14ac:dyDescent="0.25">
      <c r="B13">
        <v>7</v>
      </c>
      <c r="C13">
        <v>7</v>
      </c>
      <c r="D13">
        <v>3</v>
      </c>
      <c r="E13">
        <v>4</v>
      </c>
      <c r="F13">
        <v>1</v>
      </c>
    </row>
    <row r="14" spans="1:12" x14ac:dyDescent="0.25">
      <c r="B14">
        <v>19</v>
      </c>
      <c r="C14">
        <v>17</v>
      </c>
      <c r="D14">
        <v>15</v>
      </c>
      <c r="E14">
        <v>16</v>
      </c>
      <c r="F14">
        <v>6</v>
      </c>
    </row>
    <row r="15" spans="1:12" x14ac:dyDescent="0.25">
      <c r="B15">
        <v>20</v>
      </c>
      <c r="C15">
        <v>15</v>
      </c>
      <c r="D15">
        <v>17</v>
      </c>
      <c r="E15">
        <v>3</v>
      </c>
      <c r="F15">
        <v>6</v>
      </c>
    </row>
    <row r="16" spans="1:12" x14ac:dyDescent="0.25">
      <c r="B16">
        <v>1</v>
      </c>
      <c r="C16">
        <v>13</v>
      </c>
      <c r="D16">
        <v>4</v>
      </c>
      <c r="E16">
        <v>3</v>
      </c>
      <c r="F16">
        <v>9</v>
      </c>
    </row>
    <row r="17" spans="2:6" x14ac:dyDescent="0.25">
      <c r="B17">
        <v>12</v>
      </c>
      <c r="C17">
        <v>9</v>
      </c>
      <c r="D17">
        <v>5</v>
      </c>
      <c r="E17">
        <v>3</v>
      </c>
      <c r="F17">
        <v>12</v>
      </c>
    </row>
    <row r="18" spans="2:6" x14ac:dyDescent="0.25">
      <c r="B18">
        <v>3</v>
      </c>
      <c r="C18">
        <v>2</v>
      </c>
      <c r="D18">
        <v>17</v>
      </c>
      <c r="E18">
        <v>6</v>
      </c>
      <c r="F18">
        <v>10</v>
      </c>
    </row>
    <row r="19" spans="2:6" x14ac:dyDescent="0.25">
      <c r="B19">
        <v>14</v>
      </c>
      <c r="C19">
        <v>14</v>
      </c>
      <c r="D19">
        <v>19</v>
      </c>
      <c r="E19">
        <v>5</v>
      </c>
      <c r="F19">
        <v>20</v>
      </c>
    </row>
    <row r="20" spans="2:6" x14ac:dyDescent="0.25">
      <c r="B20">
        <v>14</v>
      </c>
      <c r="C20">
        <v>7</v>
      </c>
      <c r="D20">
        <v>19</v>
      </c>
      <c r="E20">
        <v>9</v>
      </c>
      <c r="F20">
        <v>9</v>
      </c>
    </row>
    <row r="21" spans="2:6" x14ac:dyDescent="0.25">
      <c r="B21">
        <v>17</v>
      </c>
      <c r="C21">
        <v>2</v>
      </c>
      <c r="D21">
        <v>11</v>
      </c>
      <c r="E21">
        <v>4</v>
      </c>
      <c r="F21">
        <v>10</v>
      </c>
    </row>
    <row r="22" spans="2:6" x14ac:dyDescent="0.25">
      <c r="B22">
        <v>16</v>
      </c>
      <c r="C22">
        <v>16</v>
      </c>
      <c r="D22">
        <v>14</v>
      </c>
      <c r="E22">
        <v>17</v>
      </c>
      <c r="F22">
        <v>13</v>
      </c>
    </row>
    <row r="23" spans="2:6" x14ac:dyDescent="0.25">
      <c r="B23">
        <v>13</v>
      </c>
      <c r="C23">
        <v>8</v>
      </c>
      <c r="D23">
        <v>9</v>
      </c>
      <c r="E23">
        <v>13</v>
      </c>
      <c r="F23">
        <v>13</v>
      </c>
    </row>
    <row r="24" spans="2:6" x14ac:dyDescent="0.25">
      <c r="B24">
        <v>11</v>
      </c>
      <c r="C24">
        <v>6</v>
      </c>
      <c r="D24">
        <v>10</v>
      </c>
      <c r="E24">
        <v>10</v>
      </c>
      <c r="F24">
        <v>4</v>
      </c>
    </row>
    <row r="25" spans="2:6" x14ac:dyDescent="0.25">
      <c r="B25">
        <v>11</v>
      </c>
      <c r="C25">
        <v>13</v>
      </c>
      <c r="D25">
        <v>14</v>
      </c>
      <c r="E25">
        <v>5</v>
      </c>
      <c r="F25">
        <v>2</v>
      </c>
    </row>
    <row r="26" spans="2:6" x14ac:dyDescent="0.25">
      <c r="B26">
        <v>11</v>
      </c>
      <c r="C26">
        <v>5</v>
      </c>
      <c r="D26">
        <v>8</v>
      </c>
      <c r="E26">
        <v>18</v>
      </c>
      <c r="F26">
        <v>7</v>
      </c>
    </row>
    <row r="27" spans="2:6" x14ac:dyDescent="0.25">
      <c r="B27">
        <v>12</v>
      </c>
      <c r="C27">
        <v>1</v>
      </c>
      <c r="D27">
        <v>2</v>
      </c>
      <c r="E27">
        <v>8</v>
      </c>
      <c r="F27">
        <v>13</v>
      </c>
    </row>
    <row r="28" spans="2:6" x14ac:dyDescent="0.25">
      <c r="B28">
        <v>16</v>
      </c>
      <c r="C28">
        <v>20</v>
      </c>
      <c r="D28">
        <v>10</v>
      </c>
      <c r="E28">
        <v>5</v>
      </c>
      <c r="F28">
        <v>18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Wk5IC1C">
                <anchor moveWithCells="1" sizeWithCells="1">
                  <from>
                    <xdr:col>7</xdr:col>
                    <xdr:colOff>9525</xdr:colOff>
                    <xdr:row>13</xdr:row>
                    <xdr:rowOff>57150</xdr:rowOff>
                  </from>
                  <to>
                    <xdr:col>8</xdr:col>
                    <xdr:colOff>514350</xdr:colOff>
                    <xdr:row>15</xdr:row>
                    <xdr:rowOff>133350</xdr:rowOff>
                  </to>
                </anchor>
              </controlPr>
            </control>
          </mc:Choice>
        </mc:AlternateContent>
        <mc:AlternateContent xmlns:mc="http://schemas.openxmlformats.org/markup-compatibility/2006">
          <mc:Choice Requires="x14">
            <control shapeId="1027" r:id="rId4" name="Button 3">
              <controlPr defaultSize="0" print="0" autoFill="0" autoPict="0" macro="[0]!Wk5IC1B">
                <anchor moveWithCells="1" sizeWithCells="1">
                  <from>
                    <xdr:col>3</xdr:col>
                    <xdr:colOff>9525</xdr:colOff>
                    <xdr:row>9</xdr:row>
                    <xdr:rowOff>9525</xdr:rowOff>
                  </from>
                  <to>
                    <xdr:col>5</xdr:col>
                    <xdr:colOff>361950</xdr:colOff>
                    <xdr:row>10</xdr:row>
                    <xdr:rowOff>0</xdr:rowOff>
                  </to>
                </anchor>
              </controlPr>
            </control>
          </mc:Choice>
        </mc:AlternateContent>
        <mc:AlternateContent xmlns:mc="http://schemas.openxmlformats.org/markup-compatibility/2006">
          <mc:Choice Requires="x14">
            <control shapeId="1028" r:id="rId5" name="Button 4">
              <controlPr defaultSize="0" print="0" autoFill="0" autoPict="0" macro="[0]!Wk5IC1A">
                <anchor moveWithCells="1" sizeWithCells="1">
                  <from>
                    <xdr:col>3</xdr:col>
                    <xdr:colOff>409575</xdr:colOff>
                    <xdr:row>6</xdr:row>
                    <xdr:rowOff>180975</xdr:rowOff>
                  </from>
                  <to>
                    <xdr:col>5</xdr:col>
                    <xdr:colOff>581025</xdr:colOff>
                    <xdr:row>7</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5"/>
  <sheetViews>
    <sheetView workbookViewId="0"/>
  </sheetViews>
  <sheetFormatPr defaultRowHeight="15" x14ac:dyDescent="0.25"/>
  <sheetData>
    <row r="1" spans="1:9" x14ac:dyDescent="0.25">
      <c r="A1" t="s">
        <v>16</v>
      </c>
      <c r="D1" t="s">
        <v>0</v>
      </c>
      <c r="G1" t="s">
        <v>1</v>
      </c>
      <c r="H1" t="s">
        <v>9</v>
      </c>
    </row>
    <row r="3" spans="1:9" ht="15" customHeight="1" x14ac:dyDescent="0.25">
      <c r="A3" s="29" t="s">
        <v>15</v>
      </c>
      <c r="B3" s="29"/>
      <c r="C3" s="29"/>
      <c r="D3" s="29"/>
      <c r="E3" s="29"/>
      <c r="F3" s="29"/>
      <c r="G3" s="29"/>
      <c r="H3" s="29"/>
      <c r="I3" s="29"/>
    </row>
    <row r="4" spans="1:9" ht="15" customHeight="1" x14ac:dyDescent="0.25">
      <c r="A4" s="29"/>
      <c r="B4" s="29"/>
      <c r="C4" s="29"/>
      <c r="D4" s="29"/>
      <c r="E4" s="29"/>
      <c r="F4" s="29"/>
      <c r="G4" s="29"/>
      <c r="H4" s="29"/>
      <c r="I4" s="29"/>
    </row>
    <row r="5" spans="1:9" ht="15" customHeight="1" x14ac:dyDescent="0.25">
      <c r="A5" s="29"/>
      <c r="B5" s="29"/>
      <c r="C5" s="29"/>
      <c r="D5" s="29"/>
      <c r="E5" s="29"/>
      <c r="F5" s="29"/>
      <c r="G5" s="29"/>
      <c r="H5" s="29"/>
      <c r="I5" s="29"/>
    </row>
    <row r="6" spans="1:9" ht="15" customHeight="1" x14ac:dyDescent="0.25">
      <c r="A6" s="29"/>
      <c r="B6" s="29"/>
      <c r="C6" s="29"/>
      <c r="D6" s="29"/>
      <c r="E6" s="29"/>
      <c r="F6" s="29"/>
      <c r="G6" s="29"/>
      <c r="H6" s="29"/>
      <c r="I6" s="29"/>
    </row>
    <row r="7" spans="1:9" x14ac:dyDescent="0.25">
      <c r="A7" s="29"/>
      <c r="B7" s="29"/>
      <c r="C7" s="29"/>
      <c r="D7" s="29"/>
      <c r="E7" s="29"/>
      <c r="F7" s="29"/>
      <c r="G7" s="29"/>
      <c r="H7" s="29"/>
      <c r="I7" s="29"/>
    </row>
    <row r="8" spans="1:9" x14ac:dyDescent="0.25">
      <c r="A8" s="29"/>
      <c r="B8" s="29"/>
      <c r="C8" s="29"/>
      <c r="D8" s="29"/>
      <c r="E8" s="29"/>
      <c r="F8" s="29"/>
      <c r="G8" s="29"/>
      <c r="H8" s="29"/>
      <c r="I8" s="29"/>
    </row>
    <row r="10" spans="1:9" x14ac:dyDescent="0.25">
      <c r="C10" s="30" t="s">
        <v>14</v>
      </c>
      <c r="D10" s="31"/>
    </row>
    <row r="11" spans="1:9" x14ac:dyDescent="0.25">
      <c r="B11" s="12" t="s">
        <v>11</v>
      </c>
      <c r="C11" s="12" t="s">
        <v>12</v>
      </c>
      <c r="D11" s="12" t="s">
        <v>13</v>
      </c>
    </row>
    <row r="12" spans="1:9" x14ac:dyDescent="0.25">
      <c r="B12" s="13">
        <v>-10</v>
      </c>
      <c r="C12" s="13">
        <f>IF(B12&gt;=0,1,0)</f>
        <v>0</v>
      </c>
      <c r="D12" s="13" t="e">
        <f>fun_52(B12)</f>
        <v>#VALUE!</v>
      </c>
    </row>
    <row r="13" spans="1:9" x14ac:dyDescent="0.25">
      <c r="B13" s="13">
        <v>2</v>
      </c>
      <c r="C13" s="13">
        <f t="shared" ref="C13:C25" si="0">IF(B13&gt;=0,1,0)</f>
        <v>1</v>
      </c>
      <c r="D13" s="13" t="e">
        <f t="shared" ref="D13:D25" si="1">fun_52(B13)</f>
        <v>#VALUE!</v>
      </c>
    </row>
    <row r="14" spans="1:9" x14ac:dyDescent="0.25">
      <c r="B14" s="13">
        <v>-5</v>
      </c>
      <c r="C14" s="13">
        <f t="shared" si="0"/>
        <v>0</v>
      </c>
      <c r="D14" s="13" t="e">
        <f t="shared" si="1"/>
        <v>#VALUE!</v>
      </c>
    </row>
    <row r="15" spans="1:9" x14ac:dyDescent="0.25">
      <c r="B15" s="13">
        <v>0</v>
      </c>
      <c r="C15" s="13">
        <f t="shared" si="0"/>
        <v>1</v>
      </c>
      <c r="D15" s="13" t="e">
        <f t="shared" si="1"/>
        <v>#VALUE!</v>
      </c>
    </row>
    <row r="16" spans="1:9" x14ac:dyDescent="0.25">
      <c r="B16" s="13">
        <v>1</v>
      </c>
      <c r="C16" s="13">
        <f t="shared" si="0"/>
        <v>1</v>
      </c>
      <c r="D16" s="13" t="e">
        <f t="shared" si="1"/>
        <v>#VALUE!</v>
      </c>
    </row>
    <row r="17" spans="2:4" x14ac:dyDescent="0.25">
      <c r="B17" s="13">
        <v>4</v>
      </c>
      <c r="C17" s="13">
        <f t="shared" si="0"/>
        <v>1</v>
      </c>
      <c r="D17" s="13" t="e">
        <f t="shared" si="1"/>
        <v>#VALUE!</v>
      </c>
    </row>
    <row r="18" spans="2:4" x14ac:dyDescent="0.25">
      <c r="B18" s="13">
        <v>-6</v>
      </c>
      <c r="C18" s="13">
        <f t="shared" si="0"/>
        <v>0</v>
      </c>
      <c r="D18" s="13" t="e">
        <f t="shared" si="1"/>
        <v>#VALUE!</v>
      </c>
    </row>
    <row r="19" spans="2:4" x14ac:dyDescent="0.25">
      <c r="B19" s="13">
        <v>12</v>
      </c>
      <c r="C19" s="13">
        <f t="shared" si="0"/>
        <v>1</v>
      </c>
      <c r="D19" s="13" t="e">
        <f t="shared" si="1"/>
        <v>#VALUE!</v>
      </c>
    </row>
    <row r="20" spans="2:4" x14ac:dyDescent="0.25">
      <c r="B20" s="13">
        <v>50</v>
      </c>
      <c r="C20" s="13">
        <f t="shared" si="0"/>
        <v>1</v>
      </c>
      <c r="D20" s="13" t="e">
        <f t="shared" si="1"/>
        <v>#VALUE!</v>
      </c>
    </row>
    <row r="21" spans="2:4" x14ac:dyDescent="0.25">
      <c r="B21" s="13">
        <v>0</v>
      </c>
      <c r="C21" s="13">
        <f t="shared" si="0"/>
        <v>1</v>
      </c>
      <c r="D21" s="13" t="e">
        <f t="shared" si="1"/>
        <v>#VALUE!</v>
      </c>
    </row>
    <row r="22" spans="2:4" x14ac:dyDescent="0.25">
      <c r="B22" s="13">
        <v>-35</v>
      </c>
      <c r="C22" s="13">
        <f t="shared" si="0"/>
        <v>0</v>
      </c>
      <c r="D22" s="13" t="e">
        <f t="shared" si="1"/>
        <v>#VALUE!</v>
      </c>
    </row>
    <row r="23" spans="2:4" x14ac:dyDescent="0.25">
      <c r="B23" s="13">
        <v>-25</v>
      </c>
      <c r="C23" s="13">
        <f t="shared" si="0"/>
        <v>0</v>
      </c>
      <c r="D23" s="13" t="e">
        <f t="shared" si="1"/>
        <v>#VALUE!</v>
      </c>
    </row>
    <row r="24" spans="2:4" x14ac:dyDescent="0.25">
      <c r="B24" s="13">
        <v>-17</v>
      </c>
      <c r="C24" s="13">
        <f t="shared" si="0"/>
        <v>0</v>
      </c>
      <c r="D24" s="13" t="e">
        <f t="shared" si="1"/>
        <v>#VALUE!</v>
      </c>
    </row>
    <row r="25" spans="2:4" x14ac:dyDescent="0.25">
      <c r="B25" s="13">
        <v>48</v>
      </c>
      <c r="C25" s="13">
        <f t="shared" si="0"/>
        <v>1</v>
      </c>
      <c r="D25" s="13" t="e">
        <f t="shared" si="1"/>
        <v>#VALUE!</v>
      </c>
    </row>
  </sheetData>
  <mergeCells count="2">
    <mergeCell ref="A3:I8"/>
    <mergeCell ref="C10:D10"/>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50"/>
  <sheetViews>
    <sheetView workbookViewId="0">
      <selection activeCell="J13" sqref="J13"/>
    </sheetView>
  </sheetViews>
  <sheetFormatPr defaultRowHeight="15" x14ac:dyDescent="0.25"/>
  <sheetData>
    <row r="1" spans="1:9" x14ac:dyDescent="0.25">
      <c r="A1" t="s">
        <v>16</v>
      </c>
      <c r="D1" t="s">
        <v>0</v>
      </c>
      <c r="G1" t="s">
        <v>1</v>
      </c>
      <c r="H1" t="s">
        <v>17</v>
      </c>
    </row>
    <row r="3" spans="1:9" x14ac:dyDescent="0.25">
      <c r="A3" s="32" t="s">
        <v>53</v>
      </c>
      <c r="B3" s="32"/>
      <c r="C3" s="32"/>
      <c r="D3" s="32"/>
      <c r="E3" s="32"/>
      <c r="F3" s="32"/>
      <c r="G3" s="32"/>
      <c r="H3" s="32"/>
      <c r="I3" s="32"/>
    </row>
    <row r="4" spans="1:9" x14ac:dyDescent="0.25">
      <c r="A4" s="32"/>
      <c r="B4" s="32"/>
      <c r="C4" s="32"/>
      <c r="D4" s="32"/>
      <c r="E4" s="32"/>
      <c r="F4" s="32"/>
      <c r="G4" s="32"/>
      <c r="H4" s="32"/>
      <c r="I4" s="32"/>
    </row>
    <row r="5" spans="1:9" x14ac:dyDescent="0.25">
      <c r="A5" s="32"/>
      <c r="B5" s="32"/>
      <c r="C5" s="32"/>
      <c r="D5" s="32"/>
      <c r="E5" s="32"/>
      <c r="F5" s="32"/>
      <c r="G5" s="32"/>
      <c r="H5" s="32"/>
      <c r="I5" s="32"/>
    </row>
    <row r="6" spans="1:9" x14ac:dyDescent="0.25">
      <c r="A6" s="32"/>
      <c r="B6" s="32"/>
      <c r="C6" s="32"/>
      <c r="D6" s="32"/>
      <c r="E6" s="32"/>
      <c r="F6" s="32"/>
      <c r="G6" s="32"/>
      <c r="H6" s="32"/>
      <c r="I6" s="32"/>
    </row>
    <row r="7" spans="1:9" x14ac:dyDescent="0.25">
      <c r="A7" s="32"/>
      <c r="B7" s="32"/>
      <c r="C7" s="32"/>
      <c r="D7" s="32"/>
      <c r="E7" s="32"/>
      <c r="F7" s="32"/>
      <c r="G7" s="32"/>
      <c r="H7" s="32"/>
      <c r="I7" s="32"/>
    </row>
    <row r="8" spans="1:9" x14ac:dyDescent="0.25">
      <c r="A8" s="32"/>
      <c r="B8" s="32"/>
      <c r="C8" s="32"/>
      <c r="D8" s="32"/>
      <c r="E8" s="32"/>
      <c r="F8" s="32"/>
      <c r="G8" s="32"/>
      <c r="H8" s="32"/>
      <c r="I8" s="32"/>
    </row>
    <row r="9" spans="1:9" x14ac:dyDescent="0.25">
      <c r="A9" s="32"/>
      <c r="B9" s="32"/>
      <c r="C9" s="32"/>
      <c r="D9" s="32"/>
      <c r="E9" s="32"/>
      <c r="F9" s="32"/>
      <c r="G9" s="32"/>
      <c r="H9" s="32"/>
      <c r="I9" s="32"/>
    </row>
    <row r="10" spans="1:9" x14ac:dyDescent="0.25">
      <c r="A10" s="32"/>
      <c r="B10" s="32"/>
      <c r="C10" s="32"/>
      <c r="D10" s="32"/>
      <c r="E10" s="32"/>
      <c r="F10" s="32"/>
      <c r="G10" s="32"/>
      <c r="H10" s="32"/>
      <c r="I10" s="32"/>
    </row>
    <row r="12" spans="1:9" ht="18" x14ac:dyDescent="0.35">
      <c r="B12" s="33" t="s">
        <v>18</v>
      </c>
      <c r="C12" s="33"/>
      <c r="D12" s="33"/>
      <c r="E12" s="33"/>
      <c r="F12" s="16" t="s">
        <v>19</v>
      </c>
      <c r="G12" s="17">
        <v>0</v>
      </c>
      <c r="H12" s="17" t="s">
        <v>20</v>
      </c>
    </row>
    <row r="13" spans="1:9" x14ac:dyDescent="0.25">
      <c r="B13" s="34" t="s">
        <v>21</v>
      </c>
      <c r="C13" s="34"/>
      <c r="D13" s="34"/>
      <c r="E13" s="34"/>
      <c r="F13" s="18" t="s">
        <v>22</v>
      </c>
      <c r="G13" s="19">
        <v>75</v>
      </c>
      <c r="H13" s="19" t="s">
        <v>23</v>
      </c>
    </row>
    <row r="14" spans="1:9" ht="18" x14ac:dyDescent="0.35">
      <c r="B14" s="34" t="s">
        <v>24</v>
      </c>
      <c r="C14" s="34"/>
      <c r="D14" s="34"/>
      <c r="E14" s="34"/>
      <c r="F14" s="18" t="s">
        <v>25</v>
      </c>
      <c r="G14" s="19">
        <v>8</v>
      </c>
      <c r="H14" s="19" t="s">
        <v>26</v>
      </c>
    </row>
    <row r="15" spans="1:9" ht="18" x14ac:dyDescent="0.35">
      <c r="B15" s="35" t="s">
        <v>27</v>
      </c>
      <c r="C15" s="35"/>
      <c r="D15" s="34" t="s">
        <v>28</v>
      </c>
      <c r="E15" s="34"/>
      <c r="F15" s="18" t="s">
        <v>29</v>
      </c>
      <c r="G15" s="20">
        <v>12.5</v>
      </c>
      <c r="H15" s="19" t="s">
        <v>30</v>
      </c>
    </row>
    <row r="16" spans="1:9" ht="18" x14ac:dyDescent="0.35">
      <c r="B16" s="36"/>
      <c r="C16" s="36"/>
      <c r="D16" s="37" t="s">
        <v>31</v>
      </c>
      <c r="E16" s="37"/>
      <c r="F16" s="21" t="s">
        <v>32</v>
      </c>
      <c r="G16" s="22">
        <v>62.5</v>
      </c>
      <c r="H16" s="22" t="s">
        <v>30</v>
      </c>
    </row>
    <row r="18" spans="3:4" x14ac:dyDescent="0.25">
      <c r="C18" s="23" t="s">
        <v>33</v>
      </c>
      <c r="D18" s="23" t="s">
        <v>34</v>
      </c>
    </row>
    <row r="19" spans="3:4" x14ac:dyDescent="0.25">
      <c r="C19" s="24" t="s">
        <v>35</v>
      </c>
      <c r="D19" s="24" t="s">
        <v>36</v>
      </c>
    </row>
    <row r="20" spans="3:4" x14ac:dyDescent="0.25">
      <c r="C20">
        <v>0</v>
      </c>
      <c r="D20" t="e">
        <f t="shared" ref="D20:D50" si="0">SkyDive($C20,tc,m,Cdo,Cdp,Vo)</f>
        <v>#VALUE!</v>
      </c>
    </row>
    <row r="21" spans="3:4" x14ac:dyDescent="0.25">
      <c r="C21">
        <v>0.5</v>
      </c>
      <c r="D21" t="e">
        <f t="shared" si="0"/>
        <v>#VALUE!</v>
      </c>
    </row>
    <row r="22" spans="3:4" x14ac:dyDescent="0.25">
      <c r="C22">
        <v>1</v>
      </c>
      <c r="D22" t="e">
        <f t="shared" si="0"/>
        <v>#VALUE!</v>
      </c>
    </row>
    <row r="23" spans="3:4" x14ac:dyDescent="0.25">
      <c r="C23">
        <v>1.5</v>
      </c>
      <c r="D23" t="e">
        <f t="shared" si="0"/>
        <v>#VALUE!</v>
      </c>
    </row>
    <row r="24" spans="3:4" x14ac:dyDescent="0.25">
      <c r="C24">
        <v>2</v>
      </c>
      <c r="D24" t="e">
        <f t="shared" si="0"/>
        <v>#VALUE!</v>
      </c>
    </row>
    <row r="25" spans="3:4" x14ac:dyDescent="0.25">
      <c r="C25">
        <v>2.5</v>
      </c>
      <c r="D25" t="e">
        <f t="shared" si="0"/>
        <v>#VALUE!</v>
      </c>
    </row>
    <row r="26" spans="3:4" x14ac:dyDescent="0.25">
      <c r="C26">
        <v>3</v>
      </c>
      <c r="D26" t="e">
        <f t="shared" si="0"/>
        <v>#VALUE!</v>
      </c>
    </row>
    <row r="27" spans="3:4" x14ac:dyDescent="0.25">
      <c r="C27">
        <v>3.5</v>
      </c>
      <c r="D27" t="e">
        <f t="shared" si="0"/>
        <v>#VALUE!</v>
      </c>
    </row>
    <row r="28" spans="3:4" x14ac:dyDescent="0.25">
      <c r="C28">
        <v>4</v>
      </c>
      <c r="D28" t="e">
        <f t="shared" si="0"/>
        <v>#VALUE!</v>
      </c>
    </row>
    <row r="29" spans="3:4" x14ac:dyDescent="0.25">
      <c r="C29">
        <v>4.5</v>
      </c>
      <c r="D29" t="e">
        <f t="shared" si="0"/>
        <v>#VALUE!</v>
      </c>
    </row>
    <row r="30" spans="3:4" x14ac:dyDescent="0.25">
      <c r="C30">
        <v>5</v>
      </c>
      <c r="D30" t="e">
        <f t="shared" si="0"/>
        <v>#VALUE!</v>
      </c>
    </row>
    <row r="31" spans="3:4" x14ac:dyDescent="0.25">
      <c r="C31">
        <v>5.5</v>
      </c>
      <c r="D31" t="e">
        <f t="shared" si="0"/>
        <v>#VALUE!</v>
      </c>
    </row>
    <row r="32" spans="3:4" x14ac:dyDescent="0.25">
      <c r="C32">
        <v>6</v>
      </c>
      <c r="D32" t="e">
        <f t="shared" si="0"/>
        <v>#VALUE!</v>
      </c>
    </row>
    <row r="33" spans="3:4" x14ac:dyDescent="0.25">
      <c r="C33">
        <v>6.5</v>
      </c>
      <c r="D33" t="e">
        <f t="shared" si="0"/>
        <v>#VALUE!</v>
      </c>
    </row>
    <row r="34" spans="3:4" x14ac:dyDescent="0.25">
      <c r="C34">
        <v>7</v>
      </c>
      <c r="D34" t="e">
        <f t="shared" si="0"/>
        <v>#VALUE!</v>
      </c>
    </row>
    <row r="35" spans="3:4" x14ac:dyDescent="0.25">
      <c r="C35">
        <v>7.5</v>
      </c>
      <c r="D35" t="e">
        <f t="shared" si="0"/>
        <v>#VALUE!</v>
      </c>
    </row>
    <row r="36" spans="3:4" x14ac:dyDescent="0.25">
      <c r="C36">
        <v>8</v>
      </c>
      <c r="D36" t="e">
        <f t="shared" si="0"/>
        <v>#VALUE!</v>
      </c>
    </row>
    <row r="37" spans="3:4" x14ac:dyDescent="0.25">
      <c r="C37">
        <v>8.5</v>
      </c>
      <c r="D37" t="e">
        <f t="shared" si="0"/>
        <v>#VALUE!</v>
      </c>
    </row>
    <row r="38" spans="3:4" x14ac:dyDescent="0.25">
      <c r="C38">
        <v>9</v>
      </c>
      <c r="D38" t="e">
        <f t="shared" si="0"/>
        <v>#VALUE!</v>
      </c>
    </row>
    <row r="39" spans="3:4" x14ac:dyDescent="0.25">
      <c r="C39">
        <v>9.5</v>
      </c>
      <c r="D39" t="e">
        <f t="shared" si="0"/>
        <v>#VALUE!</v>
      </c>
    </row>
    <row r="40" spans="3:4" x14ac:dyDescent="0.25">
      <c r="C40">
        <v>10</v>
      </c>
      <c r="D40" t="e">
        <f t="shared" si="0"/>
        <v>#VALUE!</v>
      </c>
    </row>
    <row r="41" spans="3:4" x14ac:dyDescent="0.25">
      <c r="C41">
        <v>10.5</v>
      </c>
      <c r="D41" t="e">
        <f t="shared" si="0"/>
        <v>#VALUE!</v>
      </c>
    </row>
    <row r="42" spans="3:4" x14ac:dyDescent="0.25">
      <c r="C42">
        <v>11</v>
      </c>
      <c r="D42" t="e">
        <f t="shared" si="0"/>
        <v>#VALUE!</v>
      </c>
    </row>
    <row r="43" spans="3:4" x14ac:dyDescent="0.25">
      <c r="C43">
        <v>11.5</v>
      </c>
      <c r="D43" t="e">
        <f t="shared" si="0"/>
        <v>#VALUE!</v>
      </c>
    </row>
    <row r="44" spans="3:4" x14ac:dyDescent="0.25">
      <c r="C44">
        <v>12</v>
      </c>
      <c r="D44" t="e">
        <f t="shared" si="0"/>
        <v>#VALUE!</v>
      </c>
    </row>
    <row r="45" spans="3:4" x14ac:dyDescent="0.25">
      <c r="C45">
        <v>12.5</v>
      </c>
      <c r="D45" t="e">
        <f t="shared" si="0"/>
        <v>#VALUE!</v>
      </c>
    </row>
    <row r="46" spans="3:4" x14ac:dyDescent="0.25">
      <c r="C46">
        <v>13</v>
      </c>
      <c r="D46" t="e">
        <f t="shared" si="0"/>
        <v>#VALUE!</v>
      </c>
    </row>
    <row r="47" spans="3:4" x14ac:dyDescent="0.25">
      <c r="C47">
        <v>13.5</v>
      </c>
      <c r="D47" t="e">
        <f t="shared" si="0"/>
        <v>#VALUE!</v>
      </c>
    </row>
    <row r="48" spans="3:4" x14ac:dyDescent="0.25">
      <c r="C48">
        <v>14</v>
      </c>
      <c r="D48" t="e">
        <f t="shared" si="0"/>
        <v>#VALUE!</v>
      </c>
    </row>
    <row r="49" spans="3:4" x14ac:dyDescent="0.25">
      <c r="C49">
        <v>14.5</v>
      </c>
      <c r="D49" t="e">
        <f t="shared" si="0"/>
        <v>#VALUE!</v>
      </c>
    </row>
    <row r="50" spans="3:4" x14ac:dyDescent="0.25">
      <c r="C50" s="22">
        <v>15</v>
      </c>
      <c r="D50" t="e">
        <f t="shared" si="0"/>
        <v>#VALUE!</v>
      </c>
    </row>
  </sheetData>
  <mergeCells count="7">
    <mergeCell ref="A3:I10"/>
    <mergeCell ref="B12:E12"/>
    <mergeCell ref="B13:E13"/>
    <mergeCell ref="B14:E14"/>
    <mergeCell ref="B15:C16"/>
    <mergeCell ref="D15:E15"/>
    <mergeCell ref="D16:E16"/>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19"/>
  <sheetViews>
    <sheetView workbookViewId="0">
      <selection activeCell="C16" sqref="C16"/>
    </sheetView>
  </sheetViews>
  <sheetFormatPr defaultRowHeight="15" x14ac:dyDescent="0.25"/>
  <cols>
    <col min="3" max="3" width="13.7109375" bestFit="1" customWidth="1"/>
  </cols>
  <sheetData>
    <row r="1" spans="1:8" x14ac:dyDescent="0.25">
      <c r="A1" t="s">
        <v>16</v>
      </c>
      <c r="D1" t="s">
        <v>0</v>
      </c>
      <c r="G1" t="s">
        <v>1</v>
      </c>
      <c r="H1" t="s">
        <v>37</v>
      </c>
    </row>
    <row r="3" spans="1:8" x14ac:dyDescent="0.25">
      <c r="A3" s="38" t="s">
        <v>38</v>
      </c>
      <c r="B3" s="39"/>
      <c r="C3" s="39"/>
      <c r="D3" s="39"/>
      <c r="E3" s="39"/>
      <c r="F3" s="39"/>
      <c r="G3" s="39"/>
      <c r="H3" s="40"/>
    </row>
    <row r="4" spans="1:8" x14ac:dyDescent="0.25">
      <c r="A4" s="41"/>
      <c r="B4" s="42"/>
      <c r="C4" s="42"/>
      <c r="D4" s="42"/>
      <c r="E4" s="42"/>
      <c r="F4" s="42"/>
      <c r="G4" s="42"/>
      <c r="H4" s="43"/>
    </row>
    <row r="5" spans="1:8" x14ac:dyDescent="0.25">
      <c r="A5" s="41"/>
      <c r="B5" s="42"/>
      <c r="C5" s="42"/>
      <c r="D5" s="42"/>
      <c r="E5" s="42"/>
      <c r="F5" s="42"/>
      <c r="G5" s="42"/>
      <c r="H5" s="43"/>
    </row>
    <row r="6" spans="1:8" x14ac:dyDescent="0.25">
      <c r="A6" s="41"/>
      <c r="B6" s="42"/>
      <c r="C6" s="42"/>
      <c r="D6" s="42"/>
      <c r="E6" s="42"/>
      <c r="F6" s="42"/>
      <c r="G6" s="42"/>
      <c r="H6" s="43"/>
    </row>
    <row r="7" spans="1:8" x14ac:dyDescent="0.25">
      <c r="A7" s="44"/>
      <c r="B7" s="45"/>
      <c r="C7" s="45"/>
      <c r="D7" s="45"/>
      <c r="E7" s="45"/>
      <c r="F7" s="45"/>
      <c r="G7" s="45"/>
      <c r="H7" s="46"/>
    </row>
    <row r="9" spans="1:8" ht="30" x14ac:dyDescent="0.25">
      <c r="B9" s="12" t="s">
        <v>11</v>
      </c>
      <c r="C9" s="12" t="s">
        <v>39</v>
      </c>
    </row>
    <row r="10" spans="1:8" x14ac:dyDescent="0.25">
      <c r="B10" s="13">
        <v>-1</v>
      </c>
      <c r="C10" s="13" t="e">
        <f>fun_54($B10)</f>
        <v>#VALUE!</v>
      </c>
    </row>
    <row r="11" spans="1:8" x14ac:dyDescent="0.25">
      <c r="B11" s="13">
        <v>-2</v>
      </c>
      <c r="C11" s="13" t="e">
        <f t="shared" ref="C11:C19" si="0">fun_54($B11)</f>
        <v>#VALUE!</v>
      </c>
    </row>
    <row r="12" spans="1:8" x14ac:dyDescent="0.25">
      <c r="B12" s="13">
        <v>9</v>
      </c>
      <c r="C12" s="13" t="e">
        <f t="shared" si="0"/>
        <v>#VALUE!</v>
      </c>
    </row>
    <row r="13" spans="1:8" x14ac:dyDescent="0.25">
      <c r="B13" s="13">
        <v>11</v>
      </c>
      <c r="C13" s="13" t="e">
        <f t="shared" si="0"/>
        <v>#VALUE!</v>
      </c>
    </row>
    <row r="14" spans="1:8" x14ac:dyDescent="0.25">
      <c r="B14" s="13">
        <v>-5</v>
      </c>
      <c r="C14" s="13" t="e">
        <f t="shared" si="0"/>
        <v>#VALUE!</v>
      </c>
    </row>
    <row r="15" spans="1:8" x14ac:dyDescent="0.25">
      <c r="B15" s="13">
        <v>6</v>
      </c>
      <c r="C15" s="13" t="e">
        <f t="shared" si="0"/>
        <v>#VALUE!</v>
      </c>
    </row>
    <row r="16" spans="1:8" x14ac:dyDescent="0.25">
      <c r="B16" s="13">
        <v>2</v>
      </c>
      <c r="C16" s="13" t="e">
        <f>fun_54($B16)</f>
        <v>#VALUE!</v>
      </c>
    </row>
    <row r="17" spans="2:3" x14ac:dyDescent="0.25">
      <c r="B17" s="13">
        <v>-5</v>
      </c>
      <c r="C17" s="13" t="e">
        <f t="shared" si="0"/>
        <v>#VALUE!</v>
      </c>
    </row>
    <row r="18" spans="2:3" x14ac:dyDescent="0.25">
      <c r="B18" s="13">
        <v>15</v>
      </c>
      <c r="C18" s="13" t="e">
        <f t="shared" si="0"/>
        <v>#VALUE!</v>
      </c>
    </row>
    <row r="19" spans="2:3" x14ac:dyDescent="0.25">
      <c r="B19" s="13">
        <v>0</v>
      </c>
      <c r="C19" s="13" t="e">
        <f t="shared" si="0"/>
        <v>#VALUE!</v>
      </c>
    </row>
  </sheetData>
  <mergeCells count="1">
    <mergeCell ref="A3:H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H7"/>
  <sheetViews>
    <sheetView workbookViewId="0">
      <selection activeCell="N12" sqref="N12"/>
    </sheetView>
  </sheetViews>
  <sheetFormatPr defaultRowHeight="15" x14ac:dyDescent="0.25"/>
  <sheetData>
    <row r="1" spans="1:8" x14ac:dyDescent="0.25">
      <c r="A1" t="s">
        <v>16</v>
      </c>
      <c r="D1" t="s">
        <v>0</v>
      </c>
      <c r="G1" t="s">
        <v>1</v>
      </c>
      <c r="H1" t="s">
        <v>40</v>
      </c>
    </row>
    <row r="3" spans="1:8" x14ac:dyDescent="0.25">
      <c r="A3" s="47" t="s">
        <v>41</v>
      </c>
      <c r="B3" s="47"/>
      <c r="C3" s="47"/>
      <c r="D3" s="47"/>
      <c r="E3" s="47"/>
      <c r="F3" s="47"/>
      <c r="G3" s="47"/>
      <c r="H3" s="47"/>
    </row>
    <row r="4" spans="1:8" x14ac:dyDescent="0.25">
      <c r="A4" s="47"/>
      <c r="B4" s="47"/>
      <c r="C4" s="47"/>
      <c r="D4" s="47"/>
      <c r="E4" s="47"/>
      <c r="F4" s="47"/>
      <c r="G4" s="47"/>
      <c r="H4" s="47"/>
    </row>
    <row r="5" spans="1:8" x14ac:dyDescent="0.25">
      <c r="A5" s="47"/>
      <c r="B5" s="47"/>
      <c r="C5" s="47"/>
      <c r="D5" s="47"/>
      <c r="E5" s="47"/>
      <c r="F5" s="47"/>
      <c r="G5" s="47"/>
      <c r="H5" s="47"/>
    </row>
    <row r="6" spans="1:8" x14ac:dyDescent="0.25">
      <c r="A6" s="47"/>
      <c r="B6" s="47"/>
      <c r="C6" s="47"/>
      <c r="D6" s="47"/>
      <c r="E6" s="47"/>
      <c r="F6" s="47"/>
      <c r="G6" s="47"/>
      <c r="H6" s="47"/>
    </row>
    <row r="7" spans="1:8" x14ac:dyDescent="0.25">
      <c r="A7" s="47"/>
      <c r="B7" s="47"/>
      <c r="C7" s="47"/>
      <c r="D7" s="47"/>
      <c r="E7" s="47"/>
      <c r="F7" s="47"/>
      <c r="G7" s="47"/>
      <c r="H7" s="47"/>
    </row>
  </sheetData>
  <mergeCells count="1">
    <mergeCell ref="A3:H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Wk5IC5">
                <anchor moveWithCells="1" sizeWithCells="1">
                  <from>
                    <xdr:col>0</xdr:col>
                    <xdr:colOff>38100</xdr:colOff>
                    <xdr:row>8</xdr:row>
                    <xdr:rowOff>19050</xdr:rowOff>
                  </from>
                  <to>
                    <xdr:col>7</xdr:col>
                    <xdr:colOff>590550</xdr:colOff>
                    <xdr:row>20</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27"/>
  <sheetViews>
    <sheetView tabSelected="1" workbookViewId="0">
      <selection activeCell="B17" sqref="B17"/>
    </sheetView>
  </sheetViews>
  <sheetFormatPr defaultRowHeight="15" x14ac:dyDescent="0.25"/>
  <sheetData>
    <row r="1" spans="1:8" x14ac:dyDescent="0.25">
      <c r="A1" t="s">
        <v>16</v>
      </c>
      <c r="D1" t="s">
        <v>0</v>
      </c>
      <c r="G1" t="s">
        <v>1</v>
      </c>
      <c r="H1" t="s">
        <v>42</v>
      </c>
    </row>
    <row r="3" spans="1:8" ht="15" customHeight="1" x14ac:dyDescent="0.25">
      <c r="A3" s="48" t="s">
        <v>43</v>
      </c>
      <c r="B3" s="48"/>
      <c r="C3" s="48"/>
      <c r="D3" s="48"/>
      <c r="E3" s="48"/>
      <c r="F3" s="48" t="s">
        <v>44</v>
      </c>
      <c r="G3" s="48"/>
      <c r="H3" s="48"/>
    </row>
    <row r="4" spans="1:8" x14ac:dyDescent="0.25">
      <c r="A4" s="48"/>
      <c r="B4" s="48"/>
      <c r="C4" s="48"/>
      <c r="D4" s="48"/>
      <c r="E4" s="48"/>
      <c r="F4" s="48"/>
      <c r="G4" s="48"/>
      <c r="H4" s="48"/>
    </row>
    <row r="5" spans="1:8" x14ac:dyDescent="0.25">
      <c r="A5" s="48"/>
      <c r="B5" s="48"/>
      <c r="C5" s="48"/>
      <c r="D5" s="48"/>
      <c r="E5" s="48"/>
      <c r="F5" s="48"/>
      <c r="G5" s="48"/>
      <c r="H5" s="48"/>
    </row>
    <row r="6" spans="1:8" x14ac:dyDescent="0.25">
      <c r="A6" s="48"/>
      <c r="B6" s="48"/>
      <c r="C6" s="48"/>
      <c r="D6" s="48"/>
      <c r="E6" s="48"/>
      <c r="F6" s="48"/>
      <c r="G6" s="48"/>
      <c r="H6" s="48"/>
    </row>
    <row r="7" spans="1:8" x14ac:dyDescent="0.25">
      <c r="A7" s="48"/>
      <c r="B7" s="48"/>
      <c r="C7" s="48"/>
      <c r="D7" s="48"/>
      <c r="E7" s="48"/>
      <c r="F7" s="48"/>
      <c r="G7" s="48"/>
      <c r="H7" s="48"/>
    </row>
    <row r="8" spans="1:8" x14ac:dyDescent="0.25">
      <c r="A8" s="48"/>
      <c r="B8" s="48"/>
      <c r="C8" s="48"/>
      <c r="D8" s="48"/>
      <c r="E8" s="48"/>
      <c r="F8" s="48"/>
      <c r="G8" s="48"/>
      <c r="H8" s="48"/>
    </row>
    <row r="10" spans="1:8" x14ac:dyDescent="0.25">
      <c r="B10" s="25" t="s">
        <v>45</v>
      </c>
      <c r="C10" s="25" t="s">
        <v>46</v>
      </c>
    </row>
    <row r="11" spans="1:8" x14ac:dyDescent="0.25">
      <c r="B11" s="26">
        <v>75</v>
      </c>
      <c r="C11" s="26" t="str">
        <f>Wk5IC6($B11)</f>
        <v>C</v>
      </c>
    </row>
    <row r="12" spans="1:8" x14ac:dyDescent="0.25">
      <c r="B12" s="26">
        <v>91</v>
      </c>
      <c r="C12" s="26" t="str">
        <f>Wk5IC6($B12)</f>
        <v>A</v>
      </c>
    </row>
    <row r="13" spans="1:8" x14ac:dyDescent="0.25">
      <c r="B13" s="26">
        <v>43</v>
      </c>
      <c r="C13" s="26" t="str">
        <f>Wk5IC6($B13)</f>
        <v>F</v>
      </c>
    </row>
    <row r="14" spans="1:8" x14ac:dyDescent="0.25">
      <c r="B14" s="26">
        <v>77</v>
      </c>
      <c r="C14" s="26" t="str">
        <f>Wk5IC6($B14)</f>
        <v>C</v>
      </c>
    </row>
    <row r="15" spans="1:8" x14ac:dyDescent="0.25">
      <c r="B15" s="26">
        <v>86</v>
      </c>
      <c r="C15" s="26" t="str">
        <f>Wk5IC6($B15)</f>
        <v>B</v>
      </c>
    </row>
    <row r="16" spans="1:8" x14ac:dyDescent="0.25">
      <c r="B16" s="26">
        <v>54</v>
      </c>
      <c r="C16" s="26" t="str">
        <f>Wk5IC6($B16)</f>
        <v>F</v>
      </c>
    </row>
    <row r="17" spans="2:3" x14ac:dyDescent="0.25">
      <c r="B17" s="26">
        <v>73</v>
      </c>
      <c r="C17" s="26" t="str">
        <f>Wk5IC6($B17)</f>
        <v>C</v>
      </c>
    </row>
    <row r="18" spans="2:3" x14ac:dyDescent="0.25">
      <c r="B18" s="26">
        <v>97</v>
      </c>
      <c r="C18" s="26" t="str">
        <f>Wk5IC6($B18)</f>
        <v>A</v>
      </c>
    </row>
    <row r="19" spans="2:3" x14ac:dyDescent="0.25">
      <c r="B19" s="26">
        <v>88</v>
      </c>
      <c r="C19" s="26" t="str">
        <f>Wk5IC6($B19)</f>
        <v>B</v>
      </c>
    </row>
    <row r="20" spans="2:3" x14ac:dyDescent="0.25">
      <c r="B20" s="26">
        <v>52</v>
      </c>
      <c r="C20" s="26" t="str">
        <f>Wk5IC6($B20)</f>
        <v>F</v>
      </c>
    </row>
    <row r="21" spans="2:3" x14ac:dyDescent="0.25">
      <c r="B21" s="26">
        <v>94</v>
      </c>
      <c r="C21" s="26" t="str">
        <f>Wk5IC6($B21)</f>
        <v>A</v>
      </c>
    </row>
    <row r="22" spans="2:3" x14ac:dyDescent="0.25">
      <c r="B22" s="26">
        <v>82</v>
      </c>
      <c r="C22" s="26" t="str">
        <f>Wk5IC6($B22)</f>
        <v>B</v>
      </c>
    </row>
    <row r="23" spans="2:3" x14ac:dyDescent="0.25">
      <c r="B23" s="26">
        <v>61</v>
      </c>
      <c r="C23" s="26" t="str">
        <f>Wk5IC6($B23)</f>
        <v>D</v>
      </c>
    </row>
    <row r="24" spans="2:3" x14ac:dyDescent="0.25">
      <c r="B24" s="26">
        <v>36</v>
      </c>
      <c r="C24" s="26" t="str">
        <f>Wk5IC6($B24)</f>
        <v>F</v>
      </c>
    </row>
    <row r="25" spans="2:3" x14ac:dyDescent="0.25">
      <c r="B25" s="26">
        <v>74</v>
      </c>
      <c r="C25" s="26" t="str">
        <f>Wk5IC6($B25)</f>
        <v>C</v>
      </c>
    </row>
    <row r="26" spans="2:3" x14ac:dyDescent="0.25">
      <c r="B26" s="26">
        <v>46</v>
      </c>
      <c r="C26" s="26" t="str">
        <f>Wk5IC6($B26)</f>
        <v>F</v>
      </c>
    </row>
    <row r="27" spans="2:3" x14ac:dyDescent="0.25">
      <c r="B27" s="26">
        <v>16</v>
      </c>
      <c r="C27" s="26" t="str">
        <f>Wk5IC6($B27)</f>
        <v>F</v>
      </c>
    </row>
  </sheetData>
  <mergeCells count="2">
    <mergeCell ref="A3:E8"/>
    <mergeCell ref="F3:H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7"/>
  <sheetViews>
    <sheetView workbookViewId="0">
      <selection activeCell="J3" sqref="J3"/>
    </sheetView>
  </sheetViews>
  <sheetFormatPr defaultRowHeight="15" x14ac:dyDescent="0.25"/>
  <sheetData>
    <row r="1" spans="1:8" x14ac:dyDescent="0.25">
      <c r="A1" t="s">
        <v>16</v>
      </c>
      <c r="D1" t="s">
        <v>0</v>
      </c>
      <c r="G1" t="s">
        <v>1</v>
      </c>
      <c r="H1" t="s">
        <v>47</v>
      </c>
    </row>
    <row r="3" spans="1:8" x14ac:dyDescent="0.25">
      <c r="A3" s="49" t="s">
        <v>48</v>
      </c>
      <c r="B3" s="49"/>
      <c r="C3" s="49"/>
      <c r="D3" s="49"/>
      <c r="E3" s="49"/>
      <c r="F3" s="49"/>
      <c r="G3" s="49"/>
      <c r="H3" s="49"/>
    </row>
    <row r="4" spans="1:8" x14ac:dyDescent="0.25">
      <c r="A4" s="49"/>
      <c r="B4" s="49"/>
      <c r="C4" s="49"/>
      <c r="D4" s="49"/>
      <c r="E4" s="49"/>
      <c r="F4" s="49"/>
      <c r="G4" s="49"/>
      <c r="H4" s="49"/>
    </row>
    <row r="5" spans="1:8" x14ac:dyDescent="0.25">
      <c r="A5" s="49"/>
      <c r="B5" s="49"/>
      <c r="C5" s="49"/>
      <c r="D5" s="49"/>
      <c r="E5" s="49"/>
      <c r="F5" s="49"/>
      <c r="G5" s="49"/>
      <c r="H5" s="49"/>
    </row>
    <row r="6" spans="1:8" x14ac:dyDescent="0.25">
      <c r="A6" s="49"/>
      <c r="B6" s="49"/>
      <c r="C6" s="49"/>
      <c r="D6" s="49"/>
      <c r="E6" s="49"/>
      <c r="F6" s="49"/>
      <c r="G6" s="49"/>
      <c r="H6" s="49"/>
    </row>
    <row r="7" spans="1:8" x14ac:dyDescent="0.25">
      <c r="A7" s="49"/>
      <c r="B7" s="49"/>
      <c r="C7" s="49"/>
      <c r="D7" s="49"/>
      <c r="E7" s="49"/>
      <c r="F7" s="49"/>
      <c r="G7" s="49"/>
      <c r="H7" s="49"/>
    </row>
    <row r="8" spans="1:8" x14ac:dyDescent="0.25">
      <c r="A8" s="49"/>
      <c r="B8" s="49"/>
      <c r="C8" s="49"/>
      <c r="D8" s="49"/>
      <c r="E8" s="49"/>
      <c r="F8" s="49"/>
      <c r="G8" s="49"/>
      <c r="H8" s="49"/>
    </row>
    <row r="10" spans="1:8" x14ac:dyDescent="0.25">
      <c r="B10" s="50" t="s">
        <v>49</v>
      </c>
      <c r="C10" s="17">
        <v>28.647889789276146</v>
      </c>
      <c r="D10" s="17" t="s">
        <v>50</v>
      </c>
    </row>
    <row r="11" spans="1:8" x14ac:dyDescent="0.25">
      <c r="B11" s="50"/>
      <c r="C11" s="22">
        <v>0.5</v>
      </c>
      <c r="D11" s="22" t="s">
        <v>51</v>
      </c>
    </row>
    <row r="12" spans="1:8" x14ac:dyDescent="0.25">
      <c r="B12" s="27" t="s">
        <v>52</v>
      </c>
      <c r="C12" s="28">
        <v>1</v>
      </c>
      <c r="D12" s="28" t="s">
        <v>54</v>
      </c>
    </row>
    <row r="17" spans="8:8" x14ac:dyDescent="0.25">
      <c r="H17" t="s">
        <v>55</v>
      </c>
    </row>
  </sheetData>
  <mergeCells count="2">
    <mergeCell ref="A3:H8"/>
    <mergeCell ref="B10:B1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vt:i4>
      </vt:variant>
    </vt:vector>
  </HeadingPairs>
  <TitlesOfParts>
    <vt:vector size="12" baseType="lpstr">
      <vt:lpstr>Sheet1</vt:lpstr>
      <vt:lpstr>Sheet2</vt:lpstr>
      <vt:lpstr>Sheet3</vt:lpstr>
      <vt:lpstr>Sheet4</vt:lpstr>
      <vt:lpstr>Sheet5</vt:lpstr>
      <vt:lpstr>Sheet6</vt:lpstr>
      <vt:lpstr>Sheet7</vt:lpstr>
      <vt:lpstr>Cdo</vt:lpstr>
      <vt:lpstr>Cdp</vt:lpstr>
      <vt:lpstr>m</vt:lpstr>
      <vt:lpstr>tc</vt:lpstr>
      <vt:lpstr>Vo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Humphrey</dc:creator>
  <cp:lastModifiedBy>CLAIR CUNNINGHAM (RIT Student)</cp:lastModifiedBy>
  <dcterms:created xsi:type="dcterms:W3CDTF">2012-04-10T14:49:24Z</dcterms:created>
  <dcterms:modified xsi:type="dcterms:W3CDTF">2012-04-16T16:55:42Z</dcterms:modified>
</cp:coreProperties>
</file>